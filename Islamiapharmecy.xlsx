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\Portfolio\"/>
    </mc:Choice>
  </mc:AlternateContent>
  <xr:revisionPtr revIDLastSave="0" documentId="13_ncr:1_{6A6F84AE-1ABC-49C5-93EE-41E2D3FF9547}" xr6:coauthVersionLast="47" xr6:coauthVersionMax="47" xr10:uidLastSave="{00000000-0000-0000-0000-000000000000}"/>
  <bookViews>
    <workbookView xWindow="-110" yWindow="350" windowWidth="19420" windowHeight="10560" xr2:uid="{28E3B003-8A15-42BE-9E63-DC70EA20D2E8}"/>
  </bookViews>
  <sheets>
    <sheet name="Medicine Master Table" sheetId="1" r:id="rId1"/>
    <sheet name="Sales Log Table" sheetId="2" r:id="rId2"/>
    <sheet name="Stock In" sheetId="3" r:id="rId3"/>
  </sheets>
  <definedNames>
    <definedName name="_xlnm._FilterDatabase" localSheetId="0" hidden="1">'Medicine Master Table'!#REF!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2" i="1" l="1"/>
  <c r="C15" i="2"/>
  <c r="F15" i="2" s="1"/>
  <c r="C3" i="3"/>
  <c r="J128" i="1" s="1"/>
  <c r="R128" i="1" s="1"/>
  <c r="C4" i="3"/>
  <c r="C5" i="3"/>
  <c r="C6" i="3"/>
  <c r="J30" i="1" s="1"/>
  <c r="R30" i="1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F65" i="3" s="1"/>
  <c r="C66" i="3"/>
  <c r="F66" i="3" s="1"/>
  <c r="C67" i="3"/>
  <c r="F67" i="3" s="1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F101" i="3" s="1"/>
  <c r="C102" i="3"/>
  <c r="F102" i="3" s="1"/>
  <c r="C103" i="3"/>
  <c r="F103" i="3" s="1"/>
  <c r="C104" i="3"/>
  <c r="F104" i="3" s="1"/>
  <c r="C105" i="3"/>
  <c r="F105" i="3" s="1"/>
  <c r="C106" i="3"/>
  <c r="C107" i="3"/>
  <c r="C108" i="3"/>
  <c r="C109" i="3"/>
  <c r="C110" i="3"/>
  <c r="C111" i="3"/>
  <c r="C112" i="3"/>
  <c r="C113" i="3"/>
  <c r="C114" i="3"/>
  <c r="C115" i="3"/>
  <c r="F115" i="3" s="1"/>
  <c r="C116" i="3"/>
  <c r="C117" i="3"/>
  <c r="C118" i="3"/>
  <c r="C119" i="3"/>
  <c r="C120" i="3"/>
  <c r="F120" i="3" s="1"/>
  <c r="C121" i="3"/>
  <c r="F121" i="3" s="1"/>
  <c r="C122" i="3"/>
  <c r="C123" i="3"/>
  <c r="C124" i="3"/>
  <c r="F124" i="3" s="1"/>
  <c r="C14" i="2"/>
  <c r="F14" i="2" s="1"/>
  <c r="C13" i="2"/>
  <c r="F13" i="2" s="1"/>
  <c r="C12" i="2"/>
  <c r="F12" i="2" s="1"/>
  <c r="C11" i="2"/>
  <c r="F11" i="2" s="1"/>
  <c r="C10" i="2"/>
  <c r="F10" i="2" s="1"/>
  <c r="C9" i="2"/>
  <c r="F9" i="2" s="1"/>
  <c r="C3" i="2"/>
  <c r="F3" i="2" s="1"/>
  <c r="C4" i="2"/>
  <c r="F4" i="2" s="1"/>
  <c r="C5" i="2"/>
  <c r="F5" i="2" s="1"/>
  <c r="C6" i="2"/>
  <c r="F6" i="2" s="1"/>
  <c r="C7" i="2"/>
  <c r="F7" i="2" s="1"/>
  <c r="C8" i="2"/>
  <c r="H52" i="1"/>
  <c r="F47" i="1"/>
  <c r="H47" i="1" s="1"/>
  <c r="H131" i="1"/>
  <c r="F130" i="1"/>
  <c r="H130" i="1" s="1"/>
  <c r="F129" i="1"/>
  <c r="H129" i="1" s="1"/>
  <c r="F128" i="1"/>
  <c r="H128" i="1" s="1"/>
  <c r="F127" i="1"/>
  <c r="H127" i="1" s="1"/>
  <c r="F126" i="1"/>
  <c r="H126" i="1" s="1"/>
  <c r="F125" i="1"/>
  <c r="H125" i="1" s="1"/>
  <c r="F124" i="1"/>
  <c r="H124" i="1" s="1"/>
  <c r="F123" i="1"/>
  <c r="H123" i="1" s="1"/>
  <c r="F122" i="1"/>
  <c r="H122" i="1" s="1"/>
  <c r="F121" i="1"/>
  <c r="H121" i="1" s="1"/>
  <c r="F120" i="1"/>
  <c r="H120" i="1" s="1"/>
  <c r="F119" i="1"/>
  <c r="H119" i="1" s="1"/>
  <c r="F118" i="1"/>
  <c r="H118" i="1" s="1"/>
  <c r="H117" i="1"/>
  <c r="F55" i="1"/>
  <c r="H55" i="1" s="1"/>
  <c r="F54" i="1"/>
  <c r="H54" i="1" s="1"/>
  <c r="H62" i="1"/>
  <c r="H51" i="1"/>
  <c r="H50" i="1"/>
  <c r="F49" i="1"/>
  <c r="H49" i="1" s="1"/>
  <c r="F48" i="1"/>
  <c r="H48" i="1" s="1"/>
  <c r="H46" i="1"/>
  <c r="H116" i="1"/>
  <c r="H85" i="1"/>
  <c r="H84" i="1"/>
  <c r="H83" i="1"/>
  <c r="H82" i="1"/>
  <c r="H22" i="1"/>
  <c r="H18" i="1"/>
  <c r="H64" i="1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H115" i="1"/>
  <c r="H63" i="1"/>
  <c r="H21" i="1"/>
  <c r="H45" i="1"/>
  <c r="H135" i="1"/>
  <c r="H134" i="1"/>
  <c r="H133" i="1"/>
  <c r="H20" i="1"/>
  <c r="H81" i="1"/>
  <c r="H80" i="1"/>
  <c r="H79" i="1"/>
  <c r="H16" i="1"/>
  <c r="H44" i="1"/>
  <c r="H61" i="1"/>
  <c r="H96" i="1"/>
  <c r="H95" i="1"/>
  <c r="H15" i="1"/>
  <c r="H66" i="1"/>
  <c r="H114" i="1"/>
  <c r="H113" i="1"/>
  <c r="H112" i="1"/>
  <c r="H19" i="1"/>
  <c r="H60" i="1"/>
  <c r="H43" i="1"/>
  <c r="H42" i="1"/>
  <c r="H136" i="1"/>
  <c r="H132" i="1"/>
  <c r="H111" i="1"/>
  <c r="H110" i="1"/>
  <c r="H109" i="1"/>
  <c r="H14" i="1"/>
  <c r="H59" i="1"/>
  <c r="H58" i="1"/>
  <c r="H57" i="1"/>
  <c r="H17" i="1"/>
  <c r="H108" i="1"/>
  <c r="H107" i="1"/>
  <c r="H41" i="1"/>
  <c r="H13" i="1"/>
  <c r="H86" i="1"/>
  <c r="F97" i="1"/>
  <c r="F3" i="3" s="1"/>
  <c r="F98" i="1"/>
  <c r="H98" i="1" s="1"/>
  <c r="F99" i="1"/>
  <c r="F100" i="1"/>
  <c r="H100" i="1" s="1"/>
  <c r="F101" i="1"/>
  <c r="H101" i="1" s="1"/>
  <c r="F102" i="1"/>
  <c r="H102" i="1" s="1"/>
  <c r="F103" i="1"/>
  <c r="H103" i="1" s="1"/>
  <c r="F104" i="1"/>
  <c r="F105" i="1"/>
  <c r="F11" i="3" s="1"/>
  <c r="F106" i="1"/>
  <c r="H106" i="1" s="1"/>
  <c r="H65" i="1"/>
  <c r="F67" i="1"/>
  <c r="H67" i="1" s="1"/>
  <c r="F68" i="1"/>
  <c r="H69" i="1"/>
  <c r="F70" i="1"/>
  <c r="H72" i="1"/>
  <c r="F73" i="1"/>
  <c r="H73" i="1" s="1"/>
  <c r="F74" i="1"/>
  <c r="F75" i="1"/>
  <c r="F76" i="1"/>
  <c r="H76" i="1" s="1"/>
  <c r="F77" i="1"/>
  <c r="H77" i="1" s="1"/>
  <c r="F78" i="1"/>
  <c r="F26" i="3" s="1"/>
  <c r="H3" i="1"/>
  <c r="F4" i="1"/>
  <c r="F28" i="3" s="1"/>
  <c r="F5" i="1"/>
  <c r="H5" i="1" s="1"/>
  <c r="F6" i="1"/>
  <c r="H6" i="1" s="1"/>
  <c r="F87" i="1"/>
  <c r="F31" i="3" s="1"/>
  <c r="F88" i="1"/>
  <c r="H88" i="1" s="1"/>
  <c r="F89" i="1"/>
  <c r="H89" i="1" s="1"/>
  <c r="F90" i="1"/>
  <c r="H90" i="1" s="1"/>
  <c r="F91" i="1"/>
  <c r="F35" i="3" s="1"/>
  <c r="F92" i="1"/>
  <c r="H92" i="1" s="1"/>
  <c r="F93" i="1"/>
  <c r="H93" i="1" s="1"/>
  <c r="F94" i="1"/>
  <c r="H94" i="1" s="1"/>
  <c r="F23" i="1"/>
  <c r="H23" i="1" s="1"/>
  <c r="F24" i="1"/>
  <c r="H24" i="1" s="1"/>
  <c r="F25" i="1"/>
  <c r="H25" i="1" s="1"/>
  <c r="F26" i="1"/>
  <c r="F42" i="3" s="1"/>
  <c r="F27" i="1"/>
  <c r="H27" i="1" s="1"/>
  <c r="F28" i="1"/>
  <c r="H28" i="1" s="1"/>
  <c r="H29" i="1"/>
  <c r="F30" i="1"/>
  <c r="H30" i="1" s="1"/>
  <c r="F31" i="1"/>
  <c r="F47" i="3" s="1"/>
  <c r="F32" i="1"/>
  <c r="H32" i="1" s="1"/>
  <c r="F33" i="1"/>
  <c r="H33" i="1" s="1"/>
  <c r="F34" i="1"/>
  <c r="F50" i="3" s="1"/>
  <c r="F35" i="1"/>
  <c r="F51" i="3" s="1"/>
  <c r="F36" i="1"/>
  <c r="H36" i="1" s="1"/>
  <c r="F37" i="1"/>
  <c r="F53" i="3" s="1"/>
  <c r="F38" i="1"/>
  <c r="F39" i="1"/>
  <c r="F55" i="3" s="1"/>
  <c r="F40" i="1"/>
  <c r="H40" i="1" s="1"/>
  <c r="F7" i="1"/>
  <c r="F57" i="3" s="1"/>
  <c r="F8" i="1"/>
  <c r="H8" i="1" s="1"/>
  <c r="F9" i="1"/>
  <c r="F59" i="3" s="1"/>
  <c r="F10" i="1"/>
  <c r="H10" i="1" s="1"/>
  <c r="F11" i="1"/>
  <c r="H11" i="1" s="1"/>
  <c r="F12" i="1"/>
  <c r="H12" i="1" s="1"/>
  <c r="H137" i="1"/>
  <c r="F5" i="3" l="1"/>
  <c r="J75" i="1"/>
  <c r="R75" i="1" s="1"/>
  <c r="J120" i="1"/>
  <c r="R120" i="1" s="1"/>
  <c r="F54" i="3"/>
  <c r="J83" i="1"/>
  <c r="R83" i="1" s="1"/>
  <c r="J51" i="1"/>
  <c r="R51" i="1" s="1"/>
  <c r="J94" i="1"/>
  <c r="R94" i="1" s="1"/>
  <c r="J125" i="1"/>
  <c r="R125" i="1" s="1"/>
  <c r="J124" i="1"/>
  <c r="R124" i="1" s="1"/>
  <c r="J100" i="1"/>
  <c r="R100" i="1" s="1"/>
  <c r="J46" i="1"/>
  <c r="R46" i="1" s="1"/>
  <c r="J67" i="1"/>
  <c r="R67" i="1" s="1"/>
  <c r="J55" i="1"/>
  <c r="R55" i="1" s="1"/>
  <c r="J86" i="1"/>
  <c r="R86" i="1" s="1"/>
  <c r="J62" i="1"/>
  <c r="R62" i="1" s="1"/>
  <c r="J126" i="1"/>
  <c r="R126" i="1" s="1"/>
  <c r="J50" i="1"/>
  <c r="R50" i="1" s="1"/>
  <c r="J12" i="1"/>
  <c r="R12" i="1" s="1"/>
  <c r="J38" i="1"/>
  <c r="R38" i="1" s="1"/>
  <c r="J11" i="1"/>
  <c r="R11" i="1" s="1"/>
  <c r="J29" i="1"/>
  <c r="R29" i="1" s="1"/>
  <c r="J74" i="1"/>
  <c r="R74" i="1" s="1"/>
  <c r="J107" i="1"/>
  <c r="R107" i="1" s="1"/>
  <c r="J110" i="1"/>
  <c r="R110" i="1" s="1"/>
  <c r="J44" i="1"/>
  <c r="R44" i="1" s="1"/>
  <c r="J115" i="1"/>
  <c r="R115" i="1" s="1"/>
  <c r="J28" i="1"/>
  <c r="R28" i="1" s="1"/>
  <c r="J5" i="1"/>
  <c r="R5" i="1" s="1"/>
  <c r="J98" i="1"/>
  <c r="R98" i="1" s="1"/>
  <c r="J84" i="1"/>
  <c r="R84" i="1" s="1"/>
  <c r="J117" i="1"/>
  <c r="R117" i="1" s="1"/>
  <c r="J129" i="1"/>
  <c r="R129" i="1" s="1"/>
  <c r="J35" i="1"/>
  <c r="R35" i="1" s="1"/>
  <c r="J4" i="1"/>
  <c r="R4" i="1" s="1"/>
  <c r="J105" i="1"/>
  <c r="R105" i="1" s="1"/>
  <c r="J59" i="1"/>
  <c r="R59" i="1" s="1"/>
  <c r="J113" i="1"/>
  <c r="R113" i="1" s="1"/>
  <c r="J20" i="1"/>
  <c r="R20" i="1" s="1"/>
  <c r="J34" i="1"/>
  <c r="R34" i="1" s="1"/>
  <c r="J26" i="1"/>
  <c r="R26" i="1" s="1"/>
  <c r="J71" i="1"/>
  <c r="R71" i="1" s="1"/>
  <c r="J85" i="1"/>
  <c r="R85" i="1" s="1"/>
  <c r="J130" i="1"/>
  <c r="J7" i="1"/>
  <c r="R7" i="1" s="1"/>
  <c r="J33" i="1"/>
  <c r="R33" i="1" s="1"/>
  <c r="J25" i="1"/>
  <c r="R25" i="1" s="1"/>
  <c r="J89" i="1"/>
  <c r="R89" i="1" s="1"/>
  <c r="J78" i="1"/>
  <c r="R78" i="1" s="1"/>
  <c r="J70" i="1"/>
  <c r="R70" i="1" s="1"/>
  <c r="J103" i="1"/>
  <c r="R103" i="1" s="1"/>
  <c r="J13" i="1"/>
  <c r="R13" i="1" s="1"/>
  <c r="J17" i="1"/>
  <c r="R17" i="1" s="1"/>
  <c r="J14" i="1"/>
  <c r="R14" i="1" s="1"/>
  <c r="J132" i="1"/>
  <c r="R132" i="1" s="1"/>
  <c r="J60" i="1"/>
  <c r="R60" i="1" s="1"/>
  <c r="J114" i="1"/>
  <c r="R114" i="1" s="1"/>
  <c r="J96" i="1"/>
  <c r="R96" i="1" s="1"/>
  <c r="J79" i="1"/>
  <c r="R79" i="1" s="1"/>
  <c r="J133" i="1"/>
  <c r="R133" i="1" s="1"/>
  <c r="J21" i="1"/>
  <c r="R21" i="1" s="1"/>
  <c r="J49" i="1"/>
  <c r="R49" i="1" s="1"/>
  <c r="J53" i="1"/>
  <c r="R53" i="1" s="1"/>
  <c r="J93" i="1"/>
  <c r="R93" i="1" s="1"/>
  <c r="J99" i="1"/>
  <c r="R99" i="1" s="1"/>
  <c r="J112" i="1"/>
  <c r="R112" i="1" s="1"/>
  <c r="J135" i="1"/>
  <c r="R135" i="1" s="1"/>
  <c r="J10" i="1"/>
  <c r="R10" i="1" s="1"/>
  <c r="J73" i="1"/>
  <c r="R73" i="1" s="1"/>
  <c r="J121" i="1"/>
  <c r="R121" i="1" s="1"/>
  <c r="J9" i="1"/>
  <c r="R9" i="1" s="1"/>
  <c r="J91" i="1"/>
  <c r="R91" i="1" s="1"/>
  <c r="J97" i="1"/>
  <c r="R97" i="1" s="1"/>
  <c r="J43" i="1"/>
  <c r="R43" i="1" s="1"/>
  <c r="J16" i="1"/>
  <c r="R16" i="1" s="1"/>
  <c r="J48" i="1"/>
  <c r="R48" i="1" s="1"/>
  <c r="J3" i="1"/>
  <c r="R3" i="1" s="1"/>
  <c r="J122" i="1"/>
  <c r="R122" i="1" s="1"/>
  <c r="F10" i="3"/>
  <c r="J137" i="1"/>
  <c r="R137" i="1" s="1"/>
  <c r="J40" i="1"/>
  <c r="R40" i="1" s="1"/>
  <c r="J32" i="1"/>
  <c r="R32" i="1" s="1"/>
  <c r="J24" i="1"/>
  <c r="R24" i="1" s="1"/>
  <c r="J88" i="1"/>
  <c r="R88" i="1" s="1"/>
  <c r="J77" i="1"/>
  <c r="R77" i="1" s="1"/>
  <c r="J69" i="1"/>
  <c r="R69" i="1" s="1"/>
  <c r="J102" i="1"/>
  <c r="R102" i="1" s="1"/>
  <c r="J82" i="1"/>
  <c r="R82" i="1" s="1"/>
  <c r="J116" i="1"/>
  <c r="R116" i="1" s="1"/>
  <c r="J54" i="1"/>
  <c r="R54" i="1" s="1"/>
  <c r="J119" i="1"/>
  <c r="R119" i="1" s="1"/>
  <c r="J123" i="1"/>
  <c r="R123" i="1" s="1"/>
  <c r="J127" i="1"/>
  <c r="R127" i="1" s="1"/>
  <c r="J131" i="1"/>
  <c r="R131" i="1" s="1"/>
  <c r="J52" i="1"/>
  <c r="R52" i="1" s="1"/>
  <c r="J37" i="1"/>
  <c r="R37" i="1" s="1"/>
  <c r="J6" i="1"/>
  <c r="R6" i="1" s="1"/>
  <c r="J65" i="1"/>
  <c r="R65" i="1" s="1"/>
  <c r="J58" i="1"/>
  <c r="R58" i="1" s="1"/>
  <c r="J42" i="1"/>
  <c r="R42" i="1" s="1"/>
  <c r="J15" i="1"/>
  <c r="R15" i="1" s="1"/>
  <c r="J81" i="1"/>
  <c r="R81" i="1" s="1"/>
  <c r="J36" i="1"/>
  <c r="R36" i="1" s="1"/>
  <c r="J92" i="1"/>
  <c r="R92" i="1" s="1"/>
  <c r="J106" i="1"/>
  <c r="R106" i="1" s="1"/>
  <c r="J18" i="1"/>
  <c r="R18" i="1" s="1"/>
  <c r="J47" i="1"/>
  <c r="R47" i="1" s="1"/>
  <c r="J27" i="1"/>
  <c r="R27" i="1" s="1"/>
  <c r="J72" i="1"/>
  <c r="R72" i="1" s="1"/>
  <c r="J108" i="1"/>
  <c r="R108" i="1" s="1"/>
  <c r="J111" i="1"/>
  <c r="R111" i="1" s="1"/>
  <c r="J95" i="1"/>
  <c r="R95" i="1" s="1"/>
  <c r="J45" i="1"/>
  <c r="R45" i="1" s="1"/>
  <c r="J8" i="1"/>
  <c r="R8" i="1" s="1"/>
  <c r="J90" i="1"/>
  <c r="R90" i="1" s="1"/>
  <c r="J104" i="1"/>
  <c r="J22" i="1"/>
  <c r="R22" i="1" s="1"/>
  <c r="J118" i="1"/>
  <c r="R118" i="1" s="1"/>
  <c r="F18" i="3"/>
  <c r="J56" i="1"/>
  <c r="R56" i="1" s="1"/>
  <c r="J39" i="1"/>
  <c r="R39" i="1" s="1"/>
  <c r="J31" i="1"/>
  <c r="R31" i="1" s="1"/>
  <c r="J23" i="1"/>
  <c r="R23" i="1" s="1"/>
  <c r="J87" i="1"/>
  <c r="R87" i="1" s="1"/>
  <c r="J76" i="1"/>
  <c r="R76" i="1" s="1"/>
  <c r="J68" i="1"/>
  <c r="R68" i="1" s="1"/>
  <c r="J101" i="1"/>
  <c r="R101" i="1" s="1"/>
  <c r="J41" i="1"/>
  <c r="R41" i="1" s="1"/>
  <c r="J57" i="1"/>
  <c r="R57" i="1" s="1"/>
  <c r="J109" i="1"/>
  <c r="R109" i="1" s="1"/>
  <c r="J136" i="1"/>
  <c r="R136" i="1" s="1"/>
  <c r="J19" i="1"/>
  <c r="R19" i="1" s="1"/>
  <c r="J66" i="1"/>
  <c r="R66" i="1" s="1"/>
  <c r="J61" i="1"/>
  <c r="R61" i="1" s="1"/>
  <c r="J80" i="1"/>
  <c r="R80" i="1" s="1"/>
  <c r="J134" i="1"/>
  <c r="R134" i="1" s="1"/>
  <c r="J63" i="1"/>
  <c r="R63" i="1" s="1"/>
  <c r="J64" i="1"/>
  <c r="R64" i="1" s="1"/>
  <c r="F8" i="2"/>
  <c r="R130" i="1"/>
  <c r="R104" i="1"/>
  <c r="F112" i="3"/>
  <c r="F116" i="3"/>
  <c r="F122" i="3"/>
  <c r="F107" i="3"/>
  <c r="F114" i="3"/>
  <c r="F108" i="3"/>
  <c r="F106" i="3"/>
  <c r="F113" i="3"/>
  <c r="F111" i="3"/>
  <c r="F110" i="3"/>
  <c r="F123" i="3"/>
  <c r="F119" i="3"/>
  <c r="F118" i="3"/>
  <c r="F109" i="3"/>
  <c r="F117" i="3"/>
  <c r="F22" i="3"/>
  <c r="F25" i="3"/>
  <c r="F17" i="3"/>
  <c r="F15" i="3"/>
  <c r="F21" i="3"/>
  <c r="F14" i="3"/>
  <c r="F44" i="3"/>
  <c r="F6" i="3"/>
  <c r="H7" i="1"/>
  <c r="H87" i="1"/>
  <c r="H31" i="1"/>
  <c r="F43" i="3"/>
  <c r="H56" i="1"/>
  <c r="H39" i="1"/>
  <c r="H26" i="1"/>
  <c r="F13" i="3"/>
  <c r="F37" i="3"/>
  <c r="F61" i="3"/>
  <c r="F30" i="3"/>
  <c r="F9" i="3"/>
  <c r="H34" i="1"/>
  <c r="F38" i="3"/>
  <c r="F62" i="3"/>
  <c r="F4" i="3"/>
  <c r="H35" i="1"/>
  <c r="F46" i="3"/>
  <c r="F29" i="3"/>
  <c r="H91" i="1"/>
  <c r="F12" i="3"/>
  <c r="F45" i="3"/>
  <c r="F20" i="3"/>
  <c r="H9" i="1"/>
  <c r="H105" i="1"/>
  <c r="H71" i="1"/>
  <c r="F19" i="3"/>
  <c r="H38" i="1"/>
  <c r="H75" i="1"/>
  <c r="H4" i="1"/>
  <c r="H97" i="1"/>
  <c r="H104" i="1"/>
  <c r="H70" i="1"/>
  <c r="F36" i="3"/>
  <c r="H68" i="1"/>
  <c r="H37" i="1"/>
  <c r="H74" i="1"/>
  <c r="H99" i="1"/>
  <c r="F60" i="3"/>
  <c r="H78" i="1"/>
  <c r="F52" i="3"/>
  <c r="F58" i="3"/>
  <c r="F27" i="3"/>
  <c r="F41" i="3"/>
  <c r="F8" i="3"/>
  <c r="F64" i="3"/>
  <c r="F56" i="3"/>
  <c r="F48" i="3"/>
  <c r="F40" i="3"/>
  <c r="F32" i="3"/>
  <c r="F24" i="3"/>
  <c r="F16" i="3"/>
  <c r="F7" i="3"/>
  <c r="F49" i="3"/>
  <c r="F63" i="3"/>
  <c r="F39" i="3"/>
  <c r="F23" i="3"/>
  <c r="F34" i="3"/>
  <c r="F33" i="3"/>
  <c r="K11" i="1"/>
  <c r="K51" i="1"/>
  <c r="K107" i="1"/>
  <c r="K34" i="1"/>
  <c r="K135" i="1"/>
  <c r="P135" i="1" s="1"/>
  <c r="K14" i="1"/>
  <c r="K129" i="1"/>
  <c r="K133" i="1"/>
  <c r="P133" i="1" s="1"/>
  <c r="K84" i="1"/>
  <c r="P84" i="1" s="1"/>
  <c r="K75" i="1"/>
  <c r="L75" i="1" s="1"/>
  <c r="O75" i="1" s="1"/>
  <c r="K30" i="1"/>
  <c r="L30" i="1" s="1"/>
  <c r="O30" i="1" s="1"/>
  <c r="K113" i="1"/>
  <c r="K13" i="1"/>
  <c r="L13" i="1" s="1"/>
  <c r="O13" i="1" s="1"/>
  <c r="K96" i="1"/>
  <c r="K6" i="1"/>
  <c r="P6" i="1" s="1"/>
  <c r="K72" i="1"/>
  <c r="K50" i="1"/>
  <c r="P50" i="1" s="1"/>
  <c r="K25" i="1"/>
  <c r="P25" i="1" s="1"/>
  <c r="K99" i="1"/>
  <c r="P99" i="1" s="1"/>
  <c r="K112" i="1"/>
  <c r="P112" i="1" s="1"/>
  <c r="K65" i="1"/>
  <c r="P65" i="1" s="1"/>
  <c r="K19" i="1"/>
  <c r="K70" i="1"/>
  <c r="P70" i="1" s="1"/>
  <c r="K125" i="1"/>
  <c r="P125" i="1" s="1"/>
  <c r="K32" i="1"/>
  <c r="P32" i="1" s="1"/>
  <c r="K17" i="1"/>
  <c r="K61" i="1"/>
  <c r="P61" i="1" s="1"/>
  <c r="K5" i="1"/>
  <c r="P5" i="1" s="1"/>
  <c r="K15" i="1"/>
  <c r="P15" i="1" s="1"/>
  <c r="K58" i="1"/>
  <c r="K87" i="1"/>
  <c r="P87" i="1" s="1"/>
  <c r="K98" i="1"/>
  <c r="P98" i="1" s="1"/>
  <c r="K60" i="1"/>
  <c r="K43" i="1"/>
  <c r="K88" i="1"/>
  <c r="P88" i="1" s="1"/>
  <c r="K130" i="1"/>
  <c r="P130" i="1" s="1"/>
  <c r="K10" i="1"/>
  <c r="P10" i="1" s="1"/>
  <c r="K54" i="1"/>
  <c r="K68" i="1"/>
  <c r="P68" i="1" s="1"/>
  <c r="K59" i="1"/>
  <c r="P59" i="1" s="1"/>
  <c r="K55" i="1"/>
  <c r="P55" i="1" s="1"/>
  <c r="K37" i="1"/>
  <c r="K31" i="1"/>
  <c r="K63" i="1"/>
  <c r="K108" i="1"/>
  <c r="P108" i="1" s="1"/>
  <c r="K89" i="1"/>
  <c r="P89" i="1" s="1"/>
  <c r="K103" i="1"/>
  <c r="P103" i="1" s="1"/>
  <c r="K90" i="1"/>
  <c r="P90" i="1" s="1"/>
  <c r="K126" i="1"/>
  <c r="P126" i="1" s="1"/>
  <c r="K39" i="1"/>
  <c r="K128" i="1"/>
  <c r="P128" i="1" s="1"/>
  <c r="K36" i="1"/>
  <c r="K94" i="1"/>
  <c r="P94" i="1" s="1"/>
  <c r="L94" i="1"/>
  <c r="O94" i="1" s="1"/>
  <c r="K23" i="1"/>
  <c r="K53" i="1"/>
  <c r="K76" i="1"/>
  <c r="L76" i="1" s="1"/>
  <c r="O76" i="1" s="1"/>
  <c r="K24" i="1"/>
  <c r="P24" i="1" s="1"/>
  <c r="K28" i="1"/>
  <c r="K102" i="1"/>
  <c r="P102" i="1" s="1"/>
  <c r="K69" i="1"/>
  <c r="P69" i="1" s="1"/>
  <c r="K29" i="1"/>
  <c r="K66" i="1"/>
  <c r="K121" i="1"/>
  <c r="K77" i="1"/>
  <c r="P77" i="1" s="1"/>
  <c r="K117" i="1"/>
  <c r="K114" i="1"/>
  <c r="K74" i="1"/>
  <c r="P74" i="1" s="1"/>
  <c r="K49" i="1"/>
  <c r="P49" i="1" s="1"/>
  <c r="K105" i="1"/>
  <c r="P105" i="1" s="1"/>
  <c r="K73" i="1"/>
  <c r="P73" i="1" s="1"/>
  <c r="K116" i="1"/>
  <c r="K118" i="1"/>
  <c r="P118" i="1" s="1"/>
  <c r="K79" i="1"/>
  <c r="P79" i="1" s="1"/>
  <c r="K91" i="1"/>
  <c r="K80" i="1"/>
  <c r="P80" i="1" s="1"/>
  <c r="K132" i="1"/>
  <c r="L132" i="1" s="1"/>
  <c r="O132" i="1" s="1"/>
  <c r="K8" i="1"/>
  <c r="P8" i="1" s="1"/>
  <c r="K45" i="1"/>
  <c r="L45" i="1" s="1"/>
  <c r="O45" i="1" s="1"/>
  <c r="K119" i="1"/>
  <c r="K71" i="1"/>
  <c r="L71" i="1" s="1"/>
  <c r="O71" i="1" s="1"/>
  <c r="K115" i="1"/>
  <c r="P115" i="1" s="1"/>
  <c r="K85" i="1"/>
  <c r="P85" i="1" s="1"/>
  <c r="K136" i="1"/>
  <c r="K40" i="1"/>
  <c r="K97" i="1"/>
  <c r="P97" i="1" s="1"/>
  <c r="K137" i="1"/>
  <c r="L137" i="1" s="1"/>
  <c r="O137" i="1" s="1"/>
  <c r="K67" i="1"/>
  <c r="P67" i="1" s="1"/>
  <c r="K101" i="1"/>
  <c r="P101" i="1" s="1"/>
  <c r="K106" i="1"/>
  <c r="P106" i="1" s="1"/>
  <c r="K122" i="1"/>
  <c r="P122" i="1" s="1"/>
  <c r="K100" i="1"/>
  <c r="P100" i="1" s="1"/>
  <c r="K4" i="1"/>
  <c r="K3" i="1"/>
  <c r="P3" i="1" s="1"/>
  <c r="K83" i="1"/>
  <c r="L83" i="1" s="1"/>
  <c r="O83" i="1" s="1"/>
  <c r="K9" i="1"/>
  <c r="P9" i="1" s="1"/>
  <c r="K111" i="1"/>
  <c r="K127" i="1"/>
  <c r="P127" i="1" s="1"/>
  <c r="K33" i="1"/>
  <c r="K131" i="1"/>
  <c r="P131" i="1" s="1"/>
  <c r="K56" i="1"/>
  <c r="K48" i="1"/>
  <c r="P48" i="1" s="1"/>
  <c r="K93" i="1"/>
  <c r="L93" i="1" s="1"/>
  <c r="O93" i="1" s="1"/>
  <c r="K86" i="1"/>
  <c r="P86" i="1" s="1"/>
  <c r="K46" i="1"/>
  <c r="K44" i="1"/>
  <c r="P44" i="1" s="1"/>
  <c r="K21" i="1"/>
  <c r="K18" i="1"/>
  <c r="P18" i="1" s="1"/>
  <c r="K81" i="1"/>
  <c r="K82" i="1"/>
  <c r="P82" i="1" s="1"/>
  <c r="K22" i="1"/>
  <c r="P22" i="1" s="1"/>
  <c r="K12" i="1"/>
  <c r="L12" i="1" s="1"/>
  <c r="O12" i="1" s="1"/>
  <c r="K104" i="1"/>
  <c r="K78" i="1"/>
  <c r="P78" i="1" s="1"/>
  <c r="K134" i="1"/>
  <c r="P134" i="1" s="1"/>
  <c r="K62" i="1"/>
  <c r="P62" i="1" s="1"/>
  <c r="K38" i="1"/>
  <c r="K57" i="1"/>
  <c r="P57" i="1" s="1"/>
  <c r="K120" i="1"/>
  <c r="P120" i="1" s="1"/>
  <c r="K123" i="1"/>
  <c r="P123" i="1" s="1"/>
  <c r="K64" i="1"/>
  <c r="P64" i="1" s="1"/>
  <c r="K110" i="1"/>
  <c r="P110" i="1" s="1"/>
  <c r="K95" i="1"/>
  <c r="K20" i="1"/>
  <c r="P20" i="1" s="1"/>
  <c r="K42" i="1"/>
  <c r="K41" i="1"/>
  <c r="P41" i="1" s="1"/>
  <c r="K16" i="1"/>
  <c r="K92" i="1"/>
  <c r="K35" i="1"/>
  <c r="K7" i="1"/>
  <c r="K124" i="1"/>
  <c r="K109" i="1"/>
  <c r="P109" i="1" s="1"/>
  <c r="K47" i="1"/>
  <c r="P47" i="1" s="1"/>
  <c r="K52" i="1"/>
  <c r="P52" i="1" s="1"/>
  <c r="K26" i="1"/>
  <c r="K27" i="1"/>
  <c r="P27" i="1" s="1"/>
  <c r="L95" i="1" l="1"/>
  <c r="O95" i="1" s="1"/>
  <c r="P31" i="1"/>
  <c r="P7" i="1"/>
  <c r="L117" i="1"/>
  <c r="O117" i="1" s="1"/>
  <c r="L39" i="1"/>
  <c r="O39" i="1" s="1"/>
  <c r="L37" i="1"/>
  <c r="O37" i="1" s="1"/>
  <c r="L56" i="1"/>
  <c r="O56" i="1" s="1"/>
  <c r="L129" i="1"/>
  <c r="O129" i="1" s="1"/>
  <c r="L116" i="1"/>
  <c r="O116" i="1" s="1"/>
  <c r="L53" i="1"/>
  <c r="O53" i="1" s="1"/>
  <c r="L51" i="1"/>
  <c r="O51" i="1" s="1"/>
  <c r="L113" i="1"/>
  <c r="O113" i="1" s="1"/>
  <c r="L121" i="1"/>
  <c r="O121" i="1" s="1"/>
  <c r="L55" i="1"/>
  <c r="O55" i="1" s="1"/>
  <c r="L42" i="1"/>
  <c r="O42" i="1" s="1"/>
  <c r="L38" i="1"/>
  <c r="O38" i="1" s="1"/>
  <c r="L81" i="1"/>
  <c r="O81" i="1" s="1"/>
  <c r="L3" i="1"/>
  <c r="O3" i="1" s="1"/>
  <c r="L66" i="1"/>
  <c r="O66" i="1" s="1"/>
  <c r="L17" i="1"/>
  <c r="O17" i="1" s="1"/>
  <c r="L68" i="1"/>
  <c r="O68" i="1" s="1"/>
  <c r="L11" i="1"/>
  <c r="O11" i="1" s="1"/>
  <c r="L124" i="1"/>
  <c r="O124" i="1" s="1"/>
  <c r="L21" i="1"/>
  <c r="O21" i="1" s="1"/>
  <c r="L72" i="1"/>
  <c r="O72" i="1" s="1"/>
  <c r="L61" i="1"/>
  <c r="O61" i="1" s="1"/>
  <c r="L29" i="1"/>
  <c r="O29" i="1" s="1"/>
  <c r="L33" i="1"/>
  <c r="O33" i="1" s="1"/>
  <c r="L131" i="1"/>
  <c r="O131" i="1" s="1"/>
  <c r="L104" i="1"/>
  <c r="O104" i="1" s="1"/>
  <c r="L46" i="1"/>
  <c r="O46" i="1" s="1"/>
  <c r="L28" i="1"/>
  <c r="O28" i="1" s="1"/>
  <c r="L19" i="1"/>
  <c r="O19" i="1" s="1"/>
  <c r="L14" i="1"/>
  <c r="O14" i="1" s="1"/>
  <c r="L119" i="1"/>
  <c r="O119" i="1" s="1"/>
  <c r="L18" i="1"/>
  <c r="O18" i="1" s="1"/>
  <c r="L65" i="1"/>
  <c r="O65" i="1" s="1"/>
  <c r="L23" i="1"/>
  <c r="O23" i="1" s="1"/>
  <c r="L103" i="1"/>
  <c r="O103" i="1" s="1"/>
  <c r="L43" i="1"/>
  <c r="O43" i="1" s="1"/>
  <c r="L4" i="1"/>
  <c r="O4" i="1" s="1"/>
  <c r="L40" i="1"/>
  <c r="O40" i="1" s="1"/>
  <c r="L60" i="1"/>
  <c r="O60" i="1" s="1"/>
  <c r="L34" i="1"/>
  <c r="O34" i="1" s="1"/>
  <c r="L26" i="1"/>
  <c r="O26" i="1" s="1"/>
  <c r="L92" i="1"/>
  <c r="O92" i="1" s="1"/>
  <c r="L136" i="1"/>
  <c r="O136" i="1" s="1"/>
  <c r="L107" i="1"/>
  <c r="O107" i="1" s="1"/>
  <c r="L52" i="1"/>
  <c r="L16" i="1"/>
  <c r="O16" i="1" s="1"/>
  <c r="L91" i="1"/>
  <c r="O91" i="1" s="1"/>
  <c r="L36" i="1"/>
  <c r="O36" i="1" s="1"/>
  <c r="L57" i="1"/>
  <c r="O57" i="1" s="1"/>
  <c r="L111" i="1"/>
  <c r="O111" i="1" s="1"/>
  <c r="L114" i="1"/>
  <c r="O114" i="1" s="1"/>
  <c r="L63" i="1"/>
  <c r="O63" i="1" s="1"/>
  <c r="L54" i="1"/>
  <c r="O54" i="1" s="1"/>
  <c r="L58" i="1"/>
  <c r="O58" i="1" s="1"/>
  <c r="L70" i="1"/>
  <c r="O70" i="1" s="1"/>
  <c r="L96" i="1"/>
  <c r="O96" i="1" s="1"/>
  <c r="L35" i="1"/>
  <c r="O35" i="1" s="1"/>
  <c r="L74" i="1"/>
  <c r="O74" i="1" s="1"/>
  <c r="S22" i="1"/>
  <c r="T22" i="1" s="1"/>
  <c r="S48" i="1"/>
  <c r="T48" i="1" s="1"/>
  <c r="S61" i="1"/>
  <c r="T61" i="1" s="1"/>
  <c r="S109" i="1"/>
  <c r="T109" i="1" s="1"/>
  <c r="S35" i="1"/>
  <c r="T35" i="1" s="1"/>
  <c r="S80" i="1"/>
  <c r="T80" i="1" s="1"/>
  <c r="S58" i="1"/>
  <c r="T58" i="1" s="1"/>
  <c r="S98" i="1"/>
  <c r="T98" i="1" s="1"/>
  <c r="S33" i="1"/>
  <c r="T33" i="1" s="1"/>
  <c r="S39" i="1"/>
  <c r="T39" i="1" s="1"/>
  <c r="S59" i="1"/>
  <c r="T59" i="1" s="1"/>
  <c r="S117" i="1"/>
  <c r="T117" i="1" s="1"/>
  <c r="S73" i="1"/>
  <c r="T73" i="1" s="1"/>
  <c r="S17" i="1"/>
  <c r="T17" i="1" s="1"/>
  <c r="S43" i="1"/>
  <c r="T43" i="1" s="1"/>
  <c r="S74" i="1"/>
  <c r="T74" i="1" s="1"/>
  <c r="S129" i="1"/>
  <c r="T129" i="1" s="1"/>
  <c r="S9" i="1"/>
  <c r="T9" i="1" s="1"/>
  <c r="S122" i="1"/>
  <c r="T122" i="1" s="1"/>
  <c r="S66" i="1"/>
  <c r="T66" i="1" s="1"/>
  <c r="S49" i="1"/>
  <c r="T49" i="1" s="1"/>
  <c r="S97" i="1"/>
  <c r="T97" i="1" s="1"/>
  <c r="S133" i="1"/>
  <c r="T133" i="1" s="1"/>
  <c r="S13" i="1"/>
  <c r="T13" i="1" s="1"/>
  <c r="S106" i="1"/>
  <c r="T106" i="1" s="1"/>
  <c r="S99" i="1"/>
  <c r="T99" i="1" s="1"/>
  <c r="S132" i="1"/>
  <c r="T132" i="1" s="1"/>
  <c r="S5" i="1"/>
  <c r="T5" i="1" s="1"/>
  <c r="S95" i="1"/>
  <c r="T95" i="1" s="1"/>
  <c r="S83" i="1"/>
  <c r="T83" i="1" s="1"/>
  <c r="S137" i="1"/>
  <c r="T137" i="1" s="1"/>
  <c r="S111" i="1"/>
  <c r="T111" i="1" s="1"/>
  <c r="S46" i="1"/>
  <c r="T46" i="1" s="1"/>
  <c r="S72" i="1"/>
  <c r="T72" i="1" s="1"/>
  <c r="S88" i="1"/>
  <c r="T88" i="1" s="1"/>
  <c r="S130" i="1"/>
  <c r="T130" i="1" s="1"/>
  <c r="S101" i="1"/>
  <c r="T101" i="1" s="1"/>
  <c r="S123" i="1"/>
  <c r="T123" i="1" s="1"/>
  <c r="S82" i="1"/>
  <c r="T82" i="1" s="1"/>
  <c r="S54" i="1"/>
  <c r="T54" i="1" s="1"/>
  <c r="S86" i="1"/>
  <c r="T86" i="1" s="1"/>
  <c r="S11" i="1"/>
  <c r="T11" i="1" s="1"/>
  <c r="S134" i="1"/>
  <c r="T134" i="1" s="1"/>
  <c r="S85" i="1"/>
  <c r="T85" i="1" s="1"/>
  <c r="S6" i="1"/>
  <c r="T6" i="1" s="1"/>
  <c r="S94" i="1"/>
  <c r="T94" i="1" s="1"/>
  <c r="S15" i="1"/>
  <c r="T15" i="1" s="1"/>
  <c r="S50" i="1"/>
  <c r="T50" i="1" s="1"/>
  <c r="S26" i="1"/>
  <c r="T26" i="1" s="1"/>
  <c r="S20" i="1"/>
  <c r="T20" i="1" s="1"/>
  <c r="S47" i="1"/>
  <c r="T47" i="1" s="1"/>
  <c r="S93" i="1"/>
  <c r="T93" i="1" s="1"/>
  <c r="S14" i="1"/>
  <c r="T14" i="1" s="1"/>
  <c r="S21" i="1"/>
  <c r="T21" i="1" s="1"/>
  <c r="S52" i="1"/>
  <c r="T52" i="1" s="1"/>
  <c r="S24" i="1"/>
  <c r="T24" i="1" s="1"/>
  <c r="S124" i="1"/>
  <c r="T124" i="1" s="1"/>
  <c r="S31" i="1"/>
  <c r="T31" i="1" s="1"/>
  <c r="S55" i="1"/>
  <c r="T55" i="1" s="1"/>
  <c r="S23" i="1"/>
  <c r="T23" i="1" s="1"/>
  <c r="S76" i="1"/>
  <c r="T76" i="1" s="1"/>
  <c r="S96" i="1"/>
  <c r="T96" i="1" s="1"/>
  <c r="S131" i="1"/>
  <c r="T131" i="1" s="1"/>
  <c r="S79" i="1"/>
  <c r="T79" i="1" s="1"/>
  <c r="S84" i="1"/>
  <c r="T84" i="1" s="1"/>
  <c r="S60" i="1"/>
  <c r="T60" i="1" s="1"/>
  <c r="S57" i="1"/>
  <c r="T57" i="1" s="1"/>
  <c r="S112" i="1"/>
  <c r="T112" i="1" s="1"/>
  <c r="S7" i="1"/>
  <c r="T7" i="1" s="1"/>
  <c r="S36" i="1"/>
  <c r="T36" i="1" s="1"/>
  <c r="S114" i="1"/>
  <c r="T114" i="1" s="1"/>
  <c r="S42" i="1"/>
  <c r="T42" i="1" s="1"/>
  <c r="S115" i="1"/>
  <c r="T115" i="1" s="1"/>
  <c r="S38" i="1"/>
  <c r="T38" i="1" s="1"/>
  <c r="S100" i="1"/>
  <c r="T100" i="1" s="1"/>
  <c r="S125" i="1"/>
  <c r="T125" i="1" s="1"/>
  <c r="S118" i="1"/>
  <c r="T118" i="1" s="1"/>
  <c r="S119" i="1"/>
  <c r="T119" i="1" s="1"/>
  <c r="S120" i="1"/>
  <c r="T120" i="1" s="1"/>
  <c r="S121" i="1"/>
  <c r="T121" i="1" s="1"/>
  <c r="S10" i="1"/>
  <c r="T10" i="1" s="1"/>
  <c r="S78" i="1"/>
  <c r="T78" i="1" s="1"/>
  <c r="S41" i="1"/>
  <c r="T41" i="1" s="1"/>
  <c r="S105" i="1"/>
  <c r="T105" i="1" s="1"/>
  <c r="S110" i="1"/>
  <c r="T110" i="1" s="1"/>
  <c r="S136" i="1"/>
  <c r="T136" i="1" s="1"/>
  <c r="S32" i="1"/>
  <c r="T32" i="1" s="1"/>
  <c r="S103" i="1"/>
  <c r="T103" i="1" s="1"/>
  <c r="S107" i="1"/>
  <c r="T107" i="1" s="1"/>
  <c r="S40" i="1"/>
  <c r="T40" i="1" s="1"/>
  <c r="S37" i="1"/>
  <c r="T37" i="1" s="1"/>
  <c r="S128" i="1"/>
  <c r="T128" i="1" s="1"/>
  <c r="S126" i="1"/>
  <c r="T126" i="1" s="1"/>
  <c r="S3" i="1"/>
  <c r="T3" i="1" s="1"/>
  <c r="S64" i="1"/>
  <c r="T64" i="1" s="1"/>
  <c r="S4" i="1"/>
  <c r="T4" i="1" s="1"/>
  <c r="S116" i="1"/>
  <c r="T116" i="1" s="1"/>
  <c r="S12" i="1"/>
  <c r="T12" i="1" s="1"/>
  <c r="S16" i="1"/>
  <c r="T16" i="1" s="1"/>
  <c r="S27" i="1"/>
  <c r="T27" i="1" s="1"/>
  <c r="S87" i="1"/>
  <c r="T87" i="1" s="1"/>
  <c r="S56" i="1"/>
  <c r="T56" i="1" s="1"/>
  <c r="S34" i="1"/>
  <c r="T34" i="1" s="1"/>
  <c r="S90" i="1"/>
  <c r="T90" i="1" s="1"/>
  <c r="S44" i="1"/>
  <c r="T44" i="1" s="1"/>
  <c r="S70" i="1"/>
  <c r="T70" i="1" s="1"/>
  <c r="S75" i="1"/>
  <c r="T75" i="1" s="1"/>
  <c r="S28" i="1"/>
  <c r="T28" i="1" s="1"/>
  <c r="S45" i="1"/>
  <c r="T45" i="1" s="1"/>
  <c r="S18" i="1"/>
  <c r="T18" i="1" s="1"/>
  <c r="S65" i="1"/>
  <c r="T65" i="1" s="1"/>
  <c r="S77" i="1"/>
  <c r="T77" i="1" s="1"/>
  <c r="S29" i="1"/>
  <c r="T29" i="1" s="1"/>
  <c r="S67" i="1"/>
  <c r="T67" i="1" s="1"/>
  <c r="S89" i="1"/>
  <c r="T89" i="1" s="1"/>
  <c r="S127" i="1"/>
  <c r="T127" i="1" s="1"/>
  <c r="S135" i="1"/>
  <c r="T135" i="1" s="1"/>
  <c r="S51" i="1"/>
  <c r="T51" i="1" s="1"/>
  <c r="S104" i="1"/>
  <c r="T104" i="1" s="1"/>
  <c r="S92" i="1"/>
  <c r="T92" i="1" s="1"/>
  <c r="S63" i="1"/>
  <c r="T63" i="1" s="1"/>
  <c r="S53" i="1"/>
  <c r="T53" i="1" s="1"/>
  <c r="S91" i="1"/>
  <c r="T91" i="1" s="1"/>
  <c r="S108" i="1"/>
  <c r="T108" i="1" s="1"/>
  <c r="S113" i="1"/>
  <c r="T113" i="1" s="1"/>
  <c r="S69" i="1"/>
  <c r="T69" i="1" s="1"/>
  <c r="S81" i="1"/>
  <c r="T81" i="1" s="1"/>
  <c r="S19" i="1"/>
  <c r="T19" i="1" s="1"/>
  <c r="S8" i="1"/>
  <c r="T8" i="1" s="1"/>
  <c r="S71" i="1"/>
  <c r="T71" i="1" s="1"/>
  <c r="S30" i="1"/>
  <c r="T30" i="1" s="1"/>
  <c r="S68" i="1"/>
  <c r="T68" i="1" s="1"/>
  <c r="S62" i="1"/>
  <c r="T62" i="1" s="1"/>
  <c r="S102" i="1"/>
  <c r="T102" i="1" s="1"/>
  <c r="S25" i="1"/>
  <c r="T25" i="1" s="1"/>
  <c r="L6" i="1"/>
  <c r="O6" i="1" s="1"/>
  <c r="P92" i="1"/>
  <c r="L80" i="1"/>
  <c r="O80" i="1" s="1"/>
  <c r="P53" i="1"/>
  <c r="L126" i="1"/>
  <c r="O126" i="1" s="1"/>
  <c r="L31" i="1"/>
  <c r="O31" i="1" s="1"/>
  <c r="P12" i="1"/>
  <c r="L97" i="1"/>
  <c r="O97" i="1" s="1"/>
  <c r="P119" i="1"/>
  <c r="L84" i="1"/>
  <c r="O84" i="1" s="1"/>
  <c r="P107" i="1"/>
  <c r="P136" i="1"/>
  <c r="L8" i="1"/>
  <c r="O8" i="1" s="1"/>
  <c r="L24" i="1"/>
  <c r="O24" i="1" s="1"/>
  <c r="P60" i="1"/>
  <c r="P129" i="1"/>
  <c r="P11" i="1"/>
  <c r="L48" i="1"/>
  <c r="O48" i="1" s="1"/>
  <c r="L9" i="1"/>
  <c r="O9" i="1" s="1"/>
  <c r="P121" i="1"/>
  <c r="L27" i="1"/>
  <c r="O27" i="1" s="1"/>
  <c r="L62" i="1"/>
  <c r="O62" i="1" s="1"/>
  <c r="L82" i="1"/>
  <c r="O82" i="1" s="1"/>
  <c r="L100" i="1"/>
  <c r="O100" i="1" s="1"/>
  <c r="L10" i="1"/>
  <c r="O10" i="1" s="1"/>
  <c r="L87" i="1"/>
  <c r="O87" i="1" s="1"/>
  <c r="L99" i="1"/>
  <c r="O99" i="1" s="1"/>
  <c r="P117" i="1"/>
  <c r="L102" i="1"/>
  <c r="O102" i="1" s="1"/>
  <c r="L109" i="1"/>
  <c r="O109" i="1" s="1"/>
  <c r="L41" i="1"/>
  <c r="O41" i="1" s="1"/>
  <c r="L105" i="1"/>
  <c r="O105" i="1" s="1"/>
  <c r="L50" i="1"/>
  <c r="O50" i="1" s="1"/>
  <c r="P30" i="1"/>
  <c r="P75" i="1"/>
  <c r="L20" i="1"/>
  <c r="O20" i="1" s="1"/>
  <c r="L128" i="1"/>
  <c r="O128" i="1" s="1"/>
  <c r="P42" i="1"/>
  <c r="P81" i="1"/>
  <c r="P4" i="1"/>
  <c r="P132" i="1"/>
  <c r="L77" i="1"/>
  <c r="O77" i="1" s="1"/>
  <c r="P28" i="1"/>
  <c r="L90" i="1"/>
  <c r="O90" i="1" s="1"/>
  <c r="P38" i="1"/>
  <c r="P56" i="1"/>
  <c r="P40" i="1"/>
  <c r="P37" i="1"/>
  <c r="L98" i="1"/>
  <c r="O98" i="1" s="1"/>
  <c r="P17" i="1"/>
  <c r="L123" i="1"/>
  <c r="O123" i="1" s="1"/>
  <c r="L86" i="1"/>
  <c r="O86" i="1" s="1"/>
  <c r="L67" i="1"/>
  <c r="O67" i="1" s="1"/>
  <c r="P116" i="1"/>
  <c r="L88" i="1"/>
  <c r="O88" i="1" s="1"/>
  <c r="L32" i="1"/>
  <c r="O32" i="1" s="1"/>
  <c r="P72" i="1"/>
  <c r="L135" i="1"/>
  <c r="O135" i="1" s="1"/>
  <c r="L22" i="1"/>
  <c r="O22" i="1" s="1"/>
  <c r="L106" i="1"/>
  <c r="O106" i="1" s="1"/>
  <c r="L79" i="1"/>
  <c r="O79" i="1" s="1"/>
  <c r="L73" i="1"/>
  <c r="O73" i="1" s="1"/>
  <c r="P26" i="1"/>
  <c r="P16" i="1"/>
  <c r="P93" i="1"/>
  <c r="P23" i="1"/>
  <c r="L64" i="1"/>
  <c r="O64" i="1" s="1"/>
  <c r="L101" i="1"/>
  <c r="O101" i="1" s="1"/>
  <c r="L25" i="1"/>
  <c r="O25" i="1" s="1"/>
  <c r="P35" i="1"/>
  <c r="P104" i="1"/>
  <c r="P111" i="1"/>
  <c r="P71" i="1"/>
  <c r="P43" i="1"/>
  <c r="L122" i="1"/>
  <c r="O122" i="1" s="1"/>
  <c r="P124" i="1"/>
  <c r="P95" i="1"/>
  <c r="P21" i="1"/>
  <c r="P33" i="1"/>
  <c r="P91" i="1"/>
  <c r="L49" i="1"/>
  <c r="O49" i="1" s="1"/>
  <c r="P66" i="1"/>
  <c r="L130" i="1"/>
  <c r="O130" i="1" s="1"/>
  <c r="P58" i="1"/>
  <c r="L112" i="1"/>
  <c r="O112" i="1" s="1"/>
  <c r="P96" i="1"/>
  <c r="L120" i="1"/>
  <c r="O120" i="1" s="1"/>
  <c r="L127" i="1"/>
  <c r="O127" i="1" s="1"/>
  <c r="P83" i="1"/>
  <c r="P137" i="1"/>
  <c r="P45" i="1"/>
  <c r="L69" i="1"/>
  <c r="O69" i="1" s="1"/>
  <c r="P54" i="1"/>
  <c r="L5" i="1"/>
  <c r="O5" i="1" s="1"/>
  <c r="P19" i="1"/>
  <c r="P14" i="1"/>
  <c r="L118" i="1"/>
  <c r="O118" i="1" s="1"/>
  <c r="P63" i="1"/>
  <c r="P113" i="1"/>
  <c r="P46" i="1"/>
  <c r="P114" i="1"/>
  <c r="P39" i="1"/>
  <c r="L59" i="1"/>
  <c r="O59" i="1" s="1"/>
  <c r="L125" i="1"/>
  <c r="O125" i="1" s="1"/>
  <c r="L133" i="1"/>
  <c r="O133" i="1" s="1"/>
  <c r="P51" i="1"/>
  <c r="L134" i="1"/>
  <c r="O134" i="1" s="1"/>
  <c r="L85" i="1"/>
  <c r="O85" i="1" s="1"/>
  <c r="P76" i="1"/>
  <c r="L89" i="1"/>
  <c r="O89" i="1" s="1"/>
  <c r="L47" i="1"/>
  <c r="O47" i="1" s="1"/>
  <c r="L7" i="1"/>
  <c r="O7" i="1" s="1"/>
  <c r="L110" i="1"/>
  <c r="O110" i="1" s="1"/>
  <c r="L78" i="1"/>
  <c r="O78" i="1" s="1"/>
  <c r="L44" i="1"/>
  <c r="O44" i="1" s="1"/>
  <c r="L115" i="1"/>
  <c r="O115" i="1" s="1"/>
  <c r="P29" i="1"/>
  <c r="P36" i="1"/>
  <c r="L108" i="1"/>
  <c r="O108" i="1" s="1"/>
  <c r="L15" i="1"/>
  <c r="O15" i="1" s="1"/>
  <c r="P13" i="1"/>
  <c r="P34" i="1"/>
</calcChain>
</file>

<file path=xl/sharedStrings.xml><?xml version="1.0" encoding="utf-8"?>
<sst xmlns="http://schemas.openxmlformats.org/spreadsheetml/2006/main" count="1253" uniqueCount="542">
  <si>
    <t>Expiry Date</t>
  </si>
  <si>
    <t>Medicine ID</t>
  </si>
  <si>
    <t>Min Stock</t>
  </si>
  <si>
    <t>Generic Name</t>
  </si>
  <si>
    <t>Unit Price</t>
  </si>
  <si>
    <t>Indication</t>
  </si>
  <si>
    <t>Napa</t>
  </si>
  <si>
    <t>Paracetamol</t>
  </si>
  <si>
    <t>Fever, Pain Relief</t>
  </si>
  <si>
    <t>PA-002</t>
  </si>
  <si>
    <t>Napa Extra</t>
  </si>
  <si>
    <t>Paracetamol + Caffeine</t>
  </si>
  <si>
    <t>Headache, Feverishness</t>
  </si>
  <si>
    <t>PA-003</t>
  </si>
  <si>
    <t>PA-004</t>
  </si>
  <si>
    <t>PA-005</t>
  </si>
  <si>
    <t>PA-006</t>
  </si>
  <si>
    <t>Napa Rapid</t>
  </si>
  <si>
    <t>Fever</t>
  </si>
  <si>
    <t>Napa Extend</t>
  </si>
  <si>
    <t>Napa One</t>
  </si>
  <si>
    <t>Feverishness, Pain Relief</t>
  </si>
  <si>
    <t>Xpa</t>
  </si>
  <si>
    <t>PA-007</t>
  </si>
  <si>
    <t>PA-008</t>
  </si>
  <si>
    <t>Xpa XR</t>
  </si>
  <si>
    <t>Ace</t>
  </si>
  <si>
    <t>Ace Plus</t>
  </si>
  <si>
    <t>Ace Power</t>
  </si>
  <si>
    <t>PA-009</t>
  </si>
  <si>
    <t>PA-010</t>
  </si>
  <si>
    <t>GA-001</t>
  </si>
  <si>
    <t>Omeprazole</t>
  </si>
  <si>
    <t>Gastric &amp; Duodenal Ulcer</t>
  </si>
  <si>
    <t>GA-002</t>
  </si>
  <si>
    <t>GA-003</t>
  </si>
  <si>
    <t>GA-004</t>
  </si>
  <si>
    <t>GA-005</t>
  </si>
  <si>
    <t>Seclo</t>
  </si>
  <si>
    <t>Exium</t>
  </si>
  <si>
    <t>Esoral</t>
  </si>
  <si>
    <t>Progut MUPS</t>
  </si>
  <si>
    <t>Esomeprazole</t>
  </si>
  <si>
    <t>Gastroesophageal reflux disease (GERD)</t>
  </si>
  <si>
    <t>Duodenal &amp; Gastric ulcer</t>
  </si>
  <si>
    <t>GA-006</t>
  </si>
  <si>
    <t>GA-007</t>
  </si>
  <si>
    <t>GA-008</t>
  </si>
  <si>
    <t>ISLAMIYA PHARMACY</t>
  </si>
  <si>
    <t>GA-009</t>
  </si>
  <si>
    <t>GA-010</t>
  </si>
  <si>
    <t>GA-011</t>
  </si>
  <si>
    <t>Don-A</t>
  </si>
  <si>
    <t>Sandom</t>
  </si>
  <si>
    <t>Domperidone</t>
  </si>
  <si>
    <t>Omidon</t>
  </si>
  <si>
    <t>Tablet</t>
  </si>
  <si>
    <t>Capsule</t>
  </si>
  <si>
    <t>Fexofenadine</t>
  </si>
  <si>
    <t>GA-012</t>
  </si>
  <si>
    <t>Othera 20</t>
  </si>
  <si>
    <t>Deflux</t>
  </si>
  <si>
    <t>GA-013</t>
  </si>
  <si>
    <t>Anzet</t>
  </si>
  <si>
    <t>Flupentixol + Melitracen</t>
  </si>
  <si>
    <t>Anfree</t>
  </si>
  <si>
    <t>Angenta</t>
  </si>
  <si>
    <t>Benzit</t>
  </si>
  <si>
    <t>Melixol</t>
  </si>
  <si>
    <t>Sensit</t>
  </si>
  <si>
    <t>Unzip</t>
  </si>
  <si>
    <t>Flunarizine</t>
  </si>
  <si>
    <t>Common Migraine, (PVD)</t>
  </si>
  <si>
    <t>Flubac 250</t>
  </si>
  <si>
    <t>Flubac 500</t>
  </si>
  <si>
    <t>Flucloxin 250</t>
  </si>
  <si>
    <t>Flucloxin 500</t>
  </si>
  <si>
    <t>Flucloxacillin Sodium</t>
  </si>
  <si>
    <t>Zimax 500</t>
  </si>
  <si>
    <t>AZ 500</t>
  </si>
  <si>
    <t>Zithrox 500</t>
  </si>
  <si>
    <t>Azomac 500</t>
  </si>
  <si>
    <t>Roxim 200</t>
  </si>
  <si>
    <t>Roxim 400</t>
  </si>
  <si>
    <t xml:space="preserve">Cefixime </t>
  </si>
  <si>
    <t>Azithromycin</t>
  </si>
  <si>
    <t>Cef-3</t>
  </si>
  <si>
    <t>Cef-3 DS</t>
  </si>
  <si>
    <t>Crfim-3</t>
  </si>
  <si>
    <t>Cefim-3 DS</t>
  </si>
  <si>
    <t>Denvar 200</t>
  </si>
  <si>
    <t>Denvar 400</t>
  </si>
  <si>
    <t xml:space="preserve">Fix-A </t>
  </si>
  <si>
    <t>Fix-A DS</t>
  </si>
  <si>
    <t>Alatrol</t>
  </si>
  <si>
    <t>Cetrizine</t>
  </si>
  <si>
    <t>Alat</t>
  </si>
  <si>
    <t>Atrizin</t>
  </si>
  <si>
    <t>Atrizin 15ml</t>
  </si>
  <si>
    <t>Syrup</t>
  </si>
  <si>
    <t xml:space="preserve">Alatrol </t>
  </si>
  <si>
    <t>PD</t>
  </si>
  <si>
    <t>Alatrol 60ml</t>
  </si>
  <si>
    <t>AL-001</t>
  </si>
  <si>
    <t>AL-002</t>
  </si>
  <si>
    <t>AL-003</t>
  </si>
  <si>
    <t>AL-004</t>
  </si>
  <si>
    <t>NE-001</t>
  </si>
  <si>
    <t>NE-002</t>
  </si>
  <si>
    <t>NE-003</t>
  </si>
  <si>
    <t>NE-004</t>
  </si>
  <si>
    <t>NE-005</t>
  </si>
  <si>
    <t>NE-006</t>
  </si>
  <si>
    <t>NE-007</t>
  </si>
  <si>
    <t>NE-008</t>
  </si>
  <si>
    <t>Motility / Gastric helper</t>
  </si>
  <si>
    <t>Allergy / Antihistamine</t>
  </si>
  <si>
    <t>Neuro / Anti-anxiety</t>
  </si>
  <si>
    <t>AN-001</t>
  </si>
  <si>
    <t>AN-002</t>
  </si>
  <si>
    <t>AN-003</t>
  </si>
  <si>
    <t>AN-004</t>
  </si>
  <si>
    <t>AN-005</t>
  </si>
  <si>
    <t>AN-006</t>
  </si>
  <si>
    <t>AN-007</t>
  </si>
  <si>
    <t>AN-008</t>
  </si>
  <si>
    <t>AN-009</t>
  </si>
  <si>
    <t>AN-010</t>
  </si>
  <si>
    <t>AN-011</t>
  </si>
  <si>
    <t>AN-012</t>
  </si>
  <si>
    <t>AN-013</t>
  </si>
  <si>
    <t>AN-014</t>
  </si>
  <si>
    <t>AN-015</t>
  </si>
  <si>
    <t>AN-016</t>
  </si>
  <si>
    <t>AN-017</t>
  </si>
  <si>
    <t>AN-018</t>
  </si>
  <si>
    <t>AL-005</t>
  </si>
  <si>
    <t>AL-006</t>
  </si>
  <si>
    <t>AL-007</t>
  </si>
  <si>
    <t>AL-008</t>
  </si>
  <si>
    <t>AL-009</t>
  </si>
  <si>
    <t>AL-010</t>
  </si>
  <si>
    <t>Antibiotic</t>
  </si>
  <si>
    <t>Dosage Form</t>
  </si>
  <si>
    <t>Date</t>
  </si>
  <si>
    <t>Qty Sold</t>
  </si>
  <si>
    <t>Total Price</t>
  </si>
  <si>
    <t>Payment Method</t>
  </si>
  <si>
    <t>DAILY SALES LOG</t>
  </si>
  <si>
    <t>invoice ID</t>
  </si>
  <si>
    <t>PA-001</t>
  </si>
  <si>
    <t>Batch ID</t>
  </si>
  <si>
    <t>Qty Received</t>
  </si>
  <si>
    <t>Cost Price</t>
  </si>
  <si>
    <t>Supplier Name</t>
  </si>
  <si>
    <t>INCOMING STOCK LOG</t>
  </si>
  <si>
    <t>Total Received</t>
  </si>
  <si>
    <t>Total Sold</t>
  </si>
  <si>
    <t>Current Stock</t>
  </si>
  <si>
    <t>BCH-001</t>
  </si>
  <si>
    <t>16-05-2026</t>
  </si>
  <si>
    <t>Beximco Pharma</t>
  </si>
  <si>
    <t>Stock Status</t>
  </si>
  <si>
    <t>Total Profit</t>
  </si>
  <si>
    <t>Cost Per Pc</t>
  </si>
  <si>
    <t>Pcs per Box</t>
  </si>
  <si>
    <t>BCH-002</t>
  </si>
  <si>
    <t>BCH-003</t>
  </si>
  <si>
    <t>BCH-004</t>
  </si>
  <si>
    <t>BCH-005</t>
  </si>
  <si>
    <t>BCH-006</t>
  </si>
  <si>
    <t>BCH-007</t>
  </si>
  <si>
    <t>BCH-008</t>
  </si>
  <si>
    <t>BCH-009</t>
  </si>
  <si>
    <t>BCH-010</t>
  </si>
  <si>
    <t>BCH-011</t>
  </si>
  <si>
    <t>BCH-012</t>
  </si>
  <si>
    <t>BCH-013</t>
  </si>
  <si>
    <t>BCH-014</t>
  </si>
  <si>
    <t>BCH-015</t>
  </si>
  <si>
    <t>BCH-016</t>
  </si>
  <si>
    <t>BCH-017</t>
  </si>
  <si>
    <t>BCH-018</t>
  </si>
  <si>
    <t>BCH-019</t>
  </si>
  <si>
    <t>BCH-020</t>
  </si>
  <si>
    <t>BCH-021</t>
  </si>
  <si>
    <t>BCH-022</t>
  </si>
  <si>
    <t>BCH-023</t>
  </si>
  <si>
    <t>BCH-024</t>
  </si>
  <si>
    <t>BCH-025</t>
  </si>
  <si>
    <t>BCH-026</t>
  </si>
  <si>
    <t>BCH-027</t>
  </si>
  <si>
    <t>BCH-028</t>
  </si>
  <si>
    <t>BCH-030</t>
  </si>
  <si>
    <t>BCH-031</t>
  </si>
  <si>
    <t>BCH-032</t>
  </si>
  <si>
    <t>BCH-033</t>
  </si>
  <si>
    <t>BCH-034</t>
  </si>
  <si>
    <t>BCH-035</t>
  </si>
  <si>
    <t>BCH-036</t>
  </si>
  <si>
    <t>BCH-037</t>
  </si>
  <si>
    <t>BCH-038</t>
  </si>
  <si>
    <t>BCH-039</t>
  </si>
  <si>
    <t>BCH-040</t>
  </si>
  <si>
    <t>BCH-041</t>
  </si>
  <si>
    <t>BCH-042</t>
  </si>
  <si>
    <t>BCH-043</t>
  </si>
  <si>
    <t>BCH-044</t>
  </si>
  <si>
    <t>BCH-045</t>
  </si>
  <si>
    <t>BCH-046</t>
  </si>
  <si>
    <t>BCH-047</t>
  </si>
  <si>
    <t>BCH-048</t>
  </si>
  <si>
    <t>BCH-049</t>
  </si>
  <si>
    <t>BCH-050</t>
  </si>
  <si>
    <t>BCH-051</t>
  </si>
  <si>
    <t>BCH-052</t>
  </si>
  <si>
    <t>BCH-053</t>
  </si>
  <si>
    <t>BCH-054</t>
  </si>
  <si>
    <t>BCH-055</t>
  </si>
  <si>
    <t>BCH-056</t>
  </si>
  <si>
    <t>BCH-057</t>
  </si>
  <si>
    <t>BCH-058</t>
  </si>
  <si>
    <t>BCH-059</t>
  </si>
  <si>
    <t>Square Pharma</t>
  </si>
  <si>
    <t>17-05-2026</t>
  </si>
  <si>
    <t>18-05-2026</t>
  </si>
  <si>
    <t>19-05-2026</t>
  </si>
  <si>
    <t>Eskayef Pharma</t>
  </si>
  <si>
    <t>Medicine Name</t>
  </si>
  <si>
    <t>Radiant Pharma</t>
  </si>
  <si>
    <t>Renata Pharma</t>
  </si>
  <si>
    <t>Popular Pharma</t>
  </si>
  <si>
    <t>ACI Limited</t>
  </si>
  <si>
    <t>Acme Pharma</t>
  </si>
  <si>
    <t>Synovia Pharma</t>
  </si>
  <si>
    <t>Incepta Pharma</t>
  </si>
  <si>
    <t>AristoPharma</t>
  </si>
  <si>
    <t>Healthcare Pharma</t>
  </si>
  <si>
    <t>Biopharma</t>
  </si>
  <si>
    <t>One Pharma</t>
  </si>
  <si>
    <t>BCH-060</t>
  </si>
  <si>
    <t>NE-009</t>
  </si>
  <si>
    <t>Fluver 5</t>
  </si>
  <si>
    <t>Fluver 10</t>
  </si>
  <si>
    <t>General Pharma</t>
  </si>
  <si>
    <t>Premier Pharma</t>
  </si>
  <si>
    <t>Cash</t>
  </si>
  <si>
    <t>INV-260517-01</t>
  </si>
  <si>
    <t>BCH-061</t>
  </si>
  <si>
    <t>BCH-062</t>
  </si>
  <si>
    <t>BCH-063</t>
  </si>
  <si>
    <t>BCH-064</t>
  </si>
  <si>
    <t>BCH-065</t>
  </si>
  <si>
    <t>CAL-001</t>
  </si>
  <si>
    <t>Aquacal-D</t>
  </si>
  <si>
    <t>VIT-001</t>
  </si>
  <si>
    <t>B126</t>
  </si>
  <si>
    <t>AL-011</t>
  </si>
  <si>
    <t>AN-019</t>
  </si>
  <si>
    <t>Clavurox 250</t>
  </si>
  <si>
    <t>Cox-E 120</t>
  </si>
  <si>
    <t>Etoricoxib</t>
  </si>
  <si>
    <t>Cox-E 90</t>
  </si>
  <si>
    <t>Ebatin</t>
  </si>
  <si>
    <t xml:space="preserve">Kalcoral-C </t>
  </si>
  <si>
    <t>Kalcoral-D</t>
  </si>
  <si>
    <t>Kalcoral-DX</t>
  </si>
  <si>
    <t>M-Lucas 10</t>
  </si>
  <si>
    <t>Migalin 2.5</t>
  </si>
  <si>
    <t>Naspro Plus 500/20</t>
  </si>
  <si>
    <t>P-Dol</t>
  </si>
  <si>
    <t>Progut 20</t>
  </si>
  <si>
    <t>Skinobac Oint</t>
  </si>
  <si>
    <t>Oinment</t>
  </si>
  <si>
    <t>TT vax</t>
  </si>
  <si>
    <t>Injection</t>
  </si>
  <si>
    <t>Zemicef PFS 50ml</t>
  </si>
  <si>
    <t>Zemicef PFS 75ml</t>
  </si>
  <si>
    <t>CoracaD-C</t>
  </si>
  <si>
    <t>Dexpoten Plus 100ml</t>
  </si>
  <si>
    <t>Etorix 120</t>
  </si>
  <si>
    <t>Etorix 90</t>
  </si>
  <si>
    <t>Etorix 60</t>
  </si>
  <si>
    <t>Losectil 20</t>
  </si>
  <si>
    <t>Losectil 40</t>
  </si>
  <si>
    <t>Lumona 10</t>
  </si>
  <si>
    <t>Norium 10</t>
  </si>
  <si>
    <t>Norium 5</t>
  </si>
  <si>
    <t>Ostocal-D</t>
  </si>
  <si>
    <t>Superitra 65mg</t>
  </si>
  <si>
    <t xml:space="preserve">Roxim 50ml </t>
  </si>
  <si>
    <t>Zofra 50ml</t>
  </si>
  <si>
    <t>Zofra ODT 8mg</t>
  </si>
  <si>
    <t>DDR 30mg</t>
  </si>
  <si>
    <t>Itrakill SB 65mg</t>
  </si>
  <si>
    <t>Cream</t>
  </si>
  <si>
    <t>Neobet 15gm</t>
  </si>
  <si>
    <t>Bet-CG 15gm</t>
  </si>
  <si>
    <t>Combo 4 15gm</t>
  </si>
  <si>
    <t>Azin 30ml</t>
  </si>
  <si>
    <t>Mebolin 50mg</t>
  </si>
  <si>
    <t>Betabis 5mg</t>
  </si>
  <si>
    <t>A-Fenac 50mg</t>
  </si>
  <si>
    <t>PAI-001</t>
  </si>
  <si>
    <t>PAI-002</t>
  </si>
  <si>
    <t>CAL-002</t>
  </si>
  <si>
    <t>CAL-003</t>
  </si>
  <si>
    <t>CAL-004</t>
  </si>
  <si>
    <t>AL-012</t>
  </si>
  <si>
    <t>PAI-003</t>
  </si>
  <si>
    <t>AN-020</t>
  </si>
  <si>
    <t>AN-021</t>
  </si>
  <si>
    <t>CAL-005</t>
  </si>
  <si>
    <t>PAI-004</t>
  </si>
  <si>
    <t>PAI-005</t>
  </si>
  <si>
    <t>PAI-006</t>
  </si>
  <si>
    <t>AL-013</t>
  </si>
  <si>
    <t>NE-010</t>
  </si>
  <si>
    <t>NE-011</t>
  </si>
  <si>
    <t>CAL-006</t>
  </si>
  <si>
    <t>AN-022</t>
  </si>
  <si>
    <t>AL-014</t>
  </si>
  <si>
    <t>GA-014</t>
  </si>
  <si>
    <t>GA-015</t>
  </si>
  <si>
    <t>GA-016</t>
  </si>
  <si>
    <t>AN-023</t>
  </si>
  <si>
    <t>GA-017</t>
  </si>
  <si>
    <t>AL-015</t>
  </si>
  <si>
    <t>PAI-007</t>
  </si>
  <si>
    <t>VAC-001</t>
  </si>
  <si>
    <t>AL-017</t>
  </si>
  <si>
    <t>AL-018</t>
  </si>
  <si>
    <t>TOP-001</t>
  </si>
  <si>
    <t>TOP-002</t>
  </si>
  <si>
    <t>TOP-003</t>
  </si>
  <si>
    <t>TOP-004</t>
  </si>
  <si>
    <t>AL-019</t>
  </si>
  <si>
    <t>CARD-001</t>
  </si>
  <si>
    <t>BCH-066</t>
  </si>
  <si>
    <t>BCH-067</t>
  </si>
  <si>
    <t>BCH-068</t>
  </si>
  <si>
    <t>BCH-069</t>
  </si>
  <si>
    <t>BCH-070</t>
  </si>
  <si>
    <t>BCH-071</t>
  </si>
  <si>
    <t>BCH-072</t>
  </si>
  <si>
    <t>BCH-073</t>
  </si>
  <si>
    <t>BCH-074</t>
  </si>
  <si>
    <t>BCH-075</t>
  </si>
  <si>
    <t>BCH-076</t>
  </si>
  <si>
    <t>BCH-077</t>
  </si>
  <si>
    <t>BCH-078</t>
  </si>
  <si>
    <t>BCH-079</t>
  </si>
  <si>
    <t>BCH-080</t>
  </si>
  <si>
    <t>BCH-081</t>
  </si>
  <si>
    <t>BCH-082</t>
  </si>
  <si>
    <t>BCH-083</t>
  </si>
  <si>
    <t>BCH-084</t>
  </si>
  <si>
    <t>BCH-085</t>
  </si>
  <si>
    <t>BCH-086</t>
  </si>
  <si>
    <t>BCH-087</t>
  </si>
  <si>
    <t>BCH-088</t>
  </si>
  <si>
    <t>BCH-089</t>
  </si>
  <si>
    <t>BCH-090</t>
  </si>
  <si>
    <t>BCH-091</t>
  </si>
  <si>
    <t>BCH-092</t>
  </si>
  <si>
    <t>BCH-093</t>
  </si>
  <si>
    <t>BCH-094</t>
  </si>
  <si>
    <t>BCH-095</t>
  </si>
  <si>
    <t>BCH-096</t>
  </si>
  <si>
    <t>BCH-097</t>
  </si>
  <si>
    <t>BCH-098</t>
  </si>
  <si>
    <t>BCH-099</t>
  </si>
  <si>
    <t>BCH-100</t>
  </si>
  <si>
    <t>BCH-101</t>
  </si>
  <si>
    <t>BCH-102</t>
  </si>
  <si>
    <t>BCH-103</t>
  </si>
  <si>
    <t>PAI-008</t>
  </si>
  <si>
    <t>PAI-009</t>
  </si>
  <si>
    <t>EAR-001</t>
  </si>
  <si>
    <t>OTO-4</t>
  </si>
  <si>
    <t>Drop</t>
  </si>
  <si>
    <t>Algae Calcium + D3</t>
  </si>
  <si>
    <t>Vitamin B1, B6 &amp; B12</t>
  </si>
  <si>
    <t>Vitamin &amp; Mineral Deficiency</t>
  </si>
  <si>
    <t>Calcium and Vitamin D3 Deficiency</t>
  </si>
  <si>
    <t>Bilastine</t>
  </si>
  <si>
    <t>Cefuroxime Axetil + Clavulanic Acid</t>
  </si>
  <si>
    <t>Ebastine</t>
  </si>
  <si>
    <t>Calcium + Vitamin C</t>
  </si>
  <si>
    <t>Effervescent Tablet</t>
  </si>
  <si>
    <t>Calcium and Vitamin C Deficiency</t>
  </si>
  <si>
    <t>Calcium + Vitamin D3</t>
  </si>
  <si>
    <t>Bone Health / Calcium Deficiency</t>
  </si>
  <si>
    <t>Coral Calcium + Vitamin D3</t>
  </si>
  <si>
    <t>Montelukast</t>
  </si>
  <si>
    <t>Asthma / Allergic Rhinitis</t>
  </si>
  <si>
    <t>Mirogabalin</t>
  </si>
  <si>
    <t>Neuropathic Pain / ( PNP )</t>
  </si>
  <si>
    <t>Naproxen + Esomeprazole</t>
  </si>
  <si>
    <t>Painkiller with Anti-acid</t>
  </si>
  <si>
    <t>Paracetamol + Tramadol</t>
  </si>
  <si>
    <t>Painkiller</t>
  </si>
  <si>
    <t>Mupirocin</t>
  </si>
  <si>
    <t>Topical Antibiotic / Skin Infection</t>
  </si>
  <si>
    <t xml:space="preserve">Tetanus Toxoid </t>
  </si>
  <si>
    <t>Vaccine / Tetanus Prevention</t>
  </si>
  <si>
    <t>Suspension</t>
  </si>
  <si>
    <t>Dexlansoprazole</t>
  </si>
  <si>
    <t>Antacid / Anti-ulcer</t>
  </si>
  <si>
    <t>Itraconazole</t>
  </si>
  <si>
    <t>Antifungal</t>
  </si>
  <si>
    <t>Betamethasone + Neomycin</t>
  </si>
  <si>
    <t>Skin Allergy / Anti-bacterial</t>
  </si>
  <si>
    <t>Betamethasone + Clotrimazole + Gentamicin</t>
  </si>
  <si>
    <t>Inflamatory Fungal Infection</t>
  </si>
  <si>
    <t>Clobetasol Propionate + Ofloxacin + Ornidazole + Terbinafine</t>
  </si>
  <si>
    <t>Mixed and complicated Fungal, Protozoal &amp; Bacterial infections</t>
  </si>
  <si>
    <t>Ofloxacin + Clotrimazole + Beclomethasone + Lidocaine</t>
  </si>
  <si>
    <t>Ear Infection / Inflammation</t>
  </si>
  <si>
    <t>Painkiller / Anti-inflammatory</t>
  </si>
  <si>
    <t>Mebhydrolin Napadisylate</t>
  </si>
  <si>
    <t xml:space="preserve">Allergy </t>
  </si>
  <si>
    <t>Bisoprolol Fumarate</t>
  </si>
  <si>
    <t>Hypertension / Heart Failure</t>
  </si>
  <si>
    <t>Diclofenac Sodium</t>
  </si>
  <si>
    <t>Suppository</t>
  </si>
  <si>
    <t>Dextromethorphan + Phenylephrine + Triprolidine</t>
  </si>
  <si>
    <t>Cough / Sneezing</t>
  </si>
  <si>
    <t>Ondansetron</t>
  </si>
  <si>
    <t>Oral Solution</t>
  </si>
  <si>
    <t>Anti-vomiting / Nausea</t>
  </si>
  <si>
    <t>AL-016</t>
  </si>
  <si>
    <t>Bilbest 20mg</t>
  </si>
  <si>
    <t>AL-020</t>
  </si>
  <si>
    <t>Telfadin 180mg</t>
  </si>
  <si>
    <t>Fenadin 120mg</t>
  </si>
  <si>
    <t>Fenadin 180mg</t>
  </si>
  <si>
    <t>Fexo 120mg</t>
  </si>
  <si>
    <t>Fexo 180mg</t>
  </si>
  <si>
    <t>Bilastin 20mg</t>
  </si>
  <si>
    <t>Maxpro 20mg</t>
  </si>
  <si>
    <t>Dantron 8mg</t>
  </si>
  <si>
    <t>Algin 50mg</t>
  </si>
  <si>
    <t>Tiemonium Methylsulfate</t>
  </si>
  <si>
    <t>Anti-abdominal / Menstrual Cramps</t>
  </si>
  <si>
    <t>GA-018</t>
  </si>
  <si>
    <t>GA-019</t>
  </si>
  <si>
    <t>GA-020</t>
  </si>
  <si>
    <t>GA-021</t>
  </si>
  <si>
    <t>Maxpro MUPS 20mg</t>
  </si>
  <si>
    <t>Maxpro MUPS 40mg</t>
  </si>
  <si>
    <t>PAI-010</t>
  </si>
  <si>
    <t>Etostar 120mg</t>
  </si>
  <si>
    <t>AN-024</t>
  </si>
  <si>
    <t>Murein 500mg</t>
  </si>
  <si>
    <t>AN-025</t>
  </si>
  <si>
    <t>Ocimax 500mg</t>
  </si>
  <si>
    <t>Ciprofloxacin</t>
  </si>
  <si>
    <t>AN-026</t>
  </si>
  <si>
    <t>Ciprocin 500mg</t>
  </si>
  <si>
    <t>Ciprocin 250mg</t>
  </si>
  <si>
    <t>Furoclav 500mg</t>
  </si>
  <si>
    <t>Zithrin 500mg</t>
  </si>
  <si>
    <t>AN-027</t>
  </si>
  <si>
    <t>AN-028</t>
  </si>
  <si>
    <t>AN-029</t>
  </si>
  <si>
    <t>CAL-007</t>
  </si>
  <si>
    <t>Coralcin-D</t>
  </si>
  <si>
    <t>Delentin</t>
  </si>
  <si>
    <t>Pyrantel Pamoate</t>
  </si>
  <si>
    <t>Alben</t>
  </si>
  <si>
    <t>Albendazole</t>
  </si>
  <si>
    <t>Alben DS</t>
  </si>
  <si>
    <t>Ascaris / Necator</t>
  </si>
  <si>
    <t>STE-001</t>
  </si>
  <si>
    <t>Deltasone 20mg</t>
  </si>
  <si>
    <t>Prednisolone</t>
  </si>
  <si>
    <t>Deltasone 5mg</t>
  </si>
  <si>
    <t>Pred 20mg</t>
  </si>
  <si>
    <t>Deltacort 5mg</t>
  </si>
  <si>
    <t xml:space="preserve">Cortisol </t>
  </si>
  <si>
    <t>P-Cort</t>
  </si>
  <si>
    <t>Precodil 5mg</t>
  </si>
  <si>
    <t>Precodil 20mg</t>
  </si>
  <si>
    <t>Precodil 10mg</t>
  </si>
  <si>
    <t>Cortan 5mg</t>
  </si>
  <si>
    <t>Cortan 10mg</t>
  </si>
  <si>
    <t>Cortan 20mg</t>
  </si>
  <si>
    <t>STE-002</t>
  </si>
  <si>
    <t>STE-003</t>
  </si>
  <si>
    <t>STE-004</t>
  </si>
  <si>
    <t>STE-005</t>
  </si>
  <si>
    <t>STE-006</t>
  </si>
  <si>
    <t>STE-007</t>
  </si>
  <si>
    <t>STE-008</t>
  </si>
  <si>
    <t>STE-009</t>
  </si>
  <si>
    <t>STE-010</t>
  </si>
  <si>
    <t>STE-011</t>
  </si>
  <si>
    <t>STE-012</t>
  </si>
  <si>
    <t>STE-013</t>
  </si>
  <si>
    <t>STE-014</t>
  </si>
  <si>
    <t>THY-001</t>
  </si>
  <si>
    <t>Thyrox 50mg</t>
  </si>
  <si>
    <t>Thyroid Stimulating Hormone (TSH)</t>
  </si>
  <si>
    <t>Levothyroxine Sodium</t>
  </si>
  <si>
    <t>ANT-001</t>
  </si>
  <si>
    <t>ANT-002</t>
  </si>
  <si>
    <t>ANT-003</t>
  </si>
  <si>
    <t>Corticosteroid / Anti-inflammatory</t>
  </si>
  <si>
    <t>BCH-104</t>
  </si>
  <si>
    <t>BCH-105</t>
  </si>
  <si>
    <t>BCH-106</t>
  </si>
  <si>
    <t>BCH-107</t>
  </si>
  <si>
    <t>BCH-108</t>
  </si>
  <si>
    <t>BCH-109</t>
  </si>
  <si>
    <t>BCH-110</t>
  </si>
  <si>
    <t>BCH-111</t>
  </si>
  <si>
    <t>BCH-112</t>
  </si>
  <si>
    <t>BCH-113</t>
  </si>
  <si>
    <t>BCH-114</t>
  </si>
  <si>
    <t>BCH-115</t>
  </si>
  <si>
    <t>BCH-116</t>
  </si>
  <si>
    <t>BCH-117</t>
  </si>
  <si>
    <t>BCH-118</t>
  </si>
  <si>
    <t>BCH-119</t>
  </si>
  <si>
    <t>BCH-120</t>
  </si>
  <si>
    <t>BCH-121</t>
  </si>
  <si>
    <t>BCH-122</t>
  </si>
  <si>
    <t>BCH-123</t>
  </si>
  <si>
    <t>23-05-2026</t>
  </si>
  <si>
    <t>AN-030</t>
  </si>
  <si>
    <t>Ocimax 60ml PFS</t>
  </si>
  <si>
    <t>Lead Time</t>
  </si>
  <si>
    <t>Cumulative %</t>
  </si>
  <si>
    <t>ABC Class</t>
  </si>
  <si>
    <t>Annual Consumption Value</t>
  </si>
  <si>
    <t>INV-260524-01</t>
  </si>
  <si>
    <t>24-05-2026</t>
  </si>
  <si>
    <t>Maxpro EC 20mg</t>
  </si>
  <si>
    <t>INV-260524-02</t>
  </si>
  <si>
    <t>]=</t>
  </si>
  <si>
    <t>INV-260524-03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</si>
</sst>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[$৳-845]_-;\-* #,##0[$৳-845]_-;_-* &quot;-&quot;??[$৳-845]_-;_-@_-"/>
    <numFmt numFmtId="165" formatCode="d\-m\-yyyy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164" fontId="0" fillId="0" borderId="0" xfId="0" applyNumberFormat="1"/>
    <xf numFmtId="0" fontId="0" fillId="0" borderId="0" xfId="0" applyNumberFormat="1"/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165" fontId="0" fillId="0" borderId="1" xfId="0" applyNumberFormat="1" applyBorder="1"/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vertical="center"/>
    </xf>
    <xf numFmtId="0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4" xfId="0" applyNumberFormat="1" applyBorder="1"/>
    <xf numFmtId="0" fontId="0" fillId="0" borderId="4" xfId="0" applyBorder="1" applyAlignment="1">
      <alignment horizontal="center" vertical="center"/>
    </xf>
    <xf numFmtId="165" fontId="0" fillId="0" borderId="4" xfId="0" applyNumberFormat="1" applyBorder="1"/>
    <xf numFmtId="0" fontId="0" fillId="0" borderId="4" xfId="0" applyNumberFormat="1" applyBorder="1" applyAlignment="1">
      <alignment horizontal="center" vertical="center"/>
    </xf>
    <xf numFmtId="0" fontId="0" fillId="0" borderId="5" xfId="0" applyNumberFormat="1" applyBorder="1"/>
    <xf numFmtId="0" fontId="0" fillId="0" borderId="0" xfId="0" applyBorder="1"/>
    <xf numFmtId="0" fontId="0" fillId="0" borderId="0" xfId="0" applyNumberFormat="1" applyBorder="1"/>
    <xf numFmtId="0" fontId="4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166" fontId="0" fillId="0" borderId="1" xfId="1" applyNumberFormat="1" applyFont="1" applyBorder="1"/>
    <xf numFmtId="166" fontId="4" fillId="2" borderId="6" xfId="1" applyNumberFormat="1" applyFont="1" applyFill="1" applyBorder="1" applyAlignment="1">
      <alignment horizontal="center"/>
    </xf>
    <xf numFmtId="166" fontId="0" fillId="0" borderId="1" xfId="1" applyNumberFormat="1" applyFont="1" applyBorder="1" applyAlignment="1">
      <alignment vertical="center"/>
    </xf>
    <xf numFmtId="0" fontId="6" fillId="3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Border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NumberFormat="1" applyBorder="1" applyAlignment="1">
      <alignment vertical="center"/>
    </xf>
    <xf numFmtId="0" fontId="0" fillId="0" borderId="5" xfId="0" applyNumberFormat="1" applyBorder="1" applyAlignment="1">
      <alignment vertical="center"/>
    </xf>
  </cellXfs>
  <cellStyles count="2">
    <cellStyle name="Normal" xfId="0" builtinId="0"/>
    <cellStyle name="Percent" xfId="1" builtinId="5"/>
  </cellStyles>
  <dxfs count="29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64" formatCode="_-* #,##0[$৳-845]_-;\-* #,##0[$৳-845]_-;_-* &quot;-&quot;??[$৳-845]_-;_-@_-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\-m\-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041A4-94BA-428C-A093-32AA796C5C16}" name="Table1" displayName="Table1" ref="A2:T137" totalsRowShown="0" headerRowDxfId="28">
  <autoFilter ref="A2:T137" xr:uid="{8FE041A4-94BA-428C-A093-32AA796C5C16}"/>
  <sortState xmlns:xlrd2="http://schemas.microsoft.com/office/spreadsheetml/2017/richdata2" ref="A3:T137">
    <sortCondition ref="A2:A137"/>
  </sortState>
  <tableColumns count="20">
    <tableColumn id="1" xr3:uid="{72341037-287C-4C5B-BB2A-7356DAD038A6}" name="Medicine ID" dataDxfId="27"/>
    <tableColumn id="2" xr3:uid="{F6D32C77-4F25-4BDA-93FE-CD6EE3375AE6}" name="Medicine Name" dataDxfId="26"/>
    <tableColumn id="3" xr3:uid="{EC1DFF17-5598-4752-A0C6-ECC1953C68AD}" name="Generic Name" dataDxfId="25"/>
    <tableColumn id="4" xr3:uid="{BCA2428C-DC9F-46F5-94C4-F8319C726438}" name="Dosage Form" dataDxfId="24"/>
    <tableColumn id="5" xr3:uid="{87B93DB0-2450-4A89-AD07-0262147738EE}" name="Indication" dataDxfId="23"/>
    <tableColumn id="13" xr3:uid="{54AF6848-F9EB-4869-8161-2DAA31C42C22}" name="Cost Price" dataDxfId="22">
      <calculatedColumnFormula>(Table1[[#This Row],[Unit Price]] * 0.9) * Table1[[#This Row],[Pcs per Box]]</calculatedColumnFormula>
    </tableColumn>
    <tableColumn id="15" xr3:uid="{817BD8EF-7C04-4D33-BE10-58B99402EBC8}" name="Pcs per Box" dataDxfId="21"/>
    <tableColumn id="16" xr3:uid="{534F0B66-630A-4DB4-B7CB-080FD9105BA5}" name="Cost Per Pc" dataDxfId="20">
      <calculatedColumnFormula>Table1[[#This Row],[Cost Price]]/Table1[[#This Row],[Pcs per Box]]</calculatedColumnFormula>
    </tableColumn>
    <tableColumn id="6" xr3:uid="{EB4CF38C-8B01-4B4F-B922-FBA06BCA5039}" name="Unit Price" dataDxfId="19"/>
    <tableColumn id="9" xr3:uid="{90BD545A-B389-4FA1-BAB4-AAFBE788FD28}" name="Total Received" dataDxfId="18">
      <calculatedColumnFormula>SUMIF('Stock In'!C:C, Table1[[#This Row],[Medicine ID]], 'Stock In'!E:E) * Table1[[#This Row],[Pcs per Box]]</calculatedColumnFormula>
    </tableColumn>
    <tableColumn id="10" xr3:uid="{72D0B8C1-3BB0-4DAE-B7F4-B5E1B1494816}" name="Total Sold" dataDxfId="17">
      <calculatedColumnFormula>SUMIF('Sales Log Table'!C:C, Table1[[#This Row],[Medicine ID]], 'Sales Log Table'!E:E)</calculatedColumnFormula>
    </tableColumn>
    <tableColumn id="11" xr3:uid="{58A61DF0-9A07-400A-99D6-53EAF85F2793}" name="Current Stock" dataDxfId="16">
      <calculatedColumnFormula>Table1[[#This Row],[Total Received]] - Table1[[#This Row],[Total Sold]]</calculatedColumnFormula>
    </tableColumn>
    <tableColumn id="7" xr3:uid="{BAF15751-9FD0-4E9C-A2A5-671C40AFC9F5}" name="Min Stock" dataDxfId="15"/>
    <tableColumn id="8" xr3:uid="{1BEECBCB-3315-4A26-8077-D0ABC78CD44D}" name="Expiry Date" dataDxfId="14"/>
    <tableColumn id="12" xr3:uid="{B6B47987-9BDA-4852-80F0-F217663553E4}" name="Stock Status" dataDxfId="13">
      <calculatedColumnFormula>IF(Table1[[#This Row],[Current Stock]] &lt;= Table1[[#This Row],[Min Stock]], "REORDER NOW", "Good")</calculatedColumnFormula>
    </tableColumn>
    <tableColumn id="14" xr3:uid="{DBF6DEC0-145C-4C05-BDB4-8A5D028E0B99}" name="Total Profit" dataDxfId="12">
      <calculatedColumnFormula>(Table1[[#This Row],[Unit Price]] - Table1[[#This Row],[Cost Per Pc]]) * Table1[[#This Row],[Total Sold]]</calculatedColumnFormula>
    </tableColumn>
    <tableColumn id="17" xr3:uid="{36F88BA3-D676-4113-8D46-29FAD8117757}" name="Lead Time" dataDxfId="11"/>
    <tableColumn id="18" xr3:uid="{55CD823D-90CE-45E0-BEDD-AACC6E02AE89}" name="Annual Consumption Value" dataDxfId="10">
      <calculatedColumnFormula>(Table1[[#This Row],[Total Received]] / Table1[[#This Row],[Pcs per Box]]) * Table1[[#This Row],[Cost Price]]</calculatedColumnFormula>
    </tableColumn>
    <tableColumn id="19" xr3:uid="{3DCAAB4D-8B3A-445E-8621-B8CCE9FD3CCD}" name="Cumulative %" dataDxfId="9" dataCellStyle="Percent">
      <calculatedColumnFormula>SUM($R$3:Table1[[#This Row],[Annual Consumption Value]]) / SUM(Table1[Annual Consumption Value])</calculatedColumnFormula>
    </tableColumn>
    <tableColumn id="20" xr3:uid="{6C2CBB92-3BA3-43E5-9FE2-F549DB404447}" name="ABC Class" dataDxfId="8">
      <calculatedColumnFormula>IF(Table1[[#This Row],[Cumulative %]]&lt;=0.8, "A", IF(Table1[[#This Row],[Cumulative %]]&lt;=0.95, "B", "C"))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B60DB1-BD06-4FD4-93F7-CD96B4159702}" name="Table4" displayName="Table4" ref="A2:G15" totalsRowShown="0" headerRowDxfId="4">
  <autoFilter ref="A2:G15" xr:uid="{D5B60DB1-BD06-4FD4-93F7-CD96B4159702}"/>
  <tableColumns count="7">
    <tableColumn id="1" xr3:uid="{A25E96E4-2FC6-4465-8AB2-694B05F3F307}" name="invoice ID"/>
    <tableColumn id="2" xr3:uid="{7A5E1668-91AC-45C0-9D65-0C4816E0B158}" name="Date"/>
    <tableColumn id="3" xr3:uid="{6D653C2E-2DE2-4CFF-AAE9-34FDF4794478}" name="Medicine ID" dataDxfId="3">
      <calculatedColumnFormula>_xlfn.XLOOKUP(Table4[[#This Row],[Medicine Name]], 'Medicine Master Table'!B:B, 'Medicine Master Table'!A:A, "Not Found")</calculatedColumnFormula>
    </tableColumn>
    <tableColumn id="7" xr3:uid="{7D225C1F-02BF-49C8-9AC4-36C0A6DD7961}" name="Medicine Name">
      <calculatedColumnFormula>_xlfn.XLOOKUP(Table4[[#This Row],[Medicine ID]], 'Medicine Master Table'!A:A, 'Medicine Master Table'!B:B, "Not Found")</calculatedColumnFormula>
    </tableColumn>
    <tableColumn id="4" xr3:uid="{7E76070F-0F9B-4926-B82B-E097D518A2EF}" name="Qty Sold"/>
    <tableColumn id="5" xr3:uid="{3FE0497D-F86A-4BB2-98F1-05858741F36A}" name="Total Price" dataDxfId="2">
      <calculatedColumnFormula>_xlfn.XLOOKUP(Table4[[#This Row],[Medicine ID]], 'Medicine Master Table'!A:A, 'Medicine Master Table'!I:I, 0) * Table4[[#This Row],[Qty Sold]]</calculatedColumnFormula>
    </tableColumn>
    <tableColumn id="6" xr3:uid="{748DA0E9-FEAC-4D4D-BDC2-82ED819C1E9B}" name="Payment Method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4F47FD-8D4E-4716-BB73-47B9F7DFBE06}" name="Table5" displayName="Table5" ref="A2:G124" totalsRowShown="0" headerRowDxfId="7">
  <autoFilter ref="A2:G124" xr:uid="{754F47FD-8D4E-4716-BB73-47B9F7DFBE06}"/>
  <tableColumns count="7">
    <tableColumn id="1" xr3:uid="{9452B915-01F8-40DB-9034-9D995EB5CF20}" name="Batch ID"/>
    <tableColumn id="2" xr3:uid="{323A5D31-303B-43A8-8656-8AF6BAC8770F}" name="Date"/>
    <tableColumn id="3" xr3:uid="{9010A184-031A-4FE3-919A-68E142C47968}" name="Medicine ID" dataDxfId="1">
      <calculatedColumnFormula>_xlfn.XLOOKUP(Table5[[#This Row],[Medicine Name]], 'Medicine Master Table'!B:B, 'Medicine Master Table'!A:A, "Not Found")</calculatedColumnFormula>
    </tableColumn>
    <tableColumn id="7" xr3:uid="{1D1975BA-0FB0-473B-A75C-B0E813552213}" name="Medicine Name" dataDxfId="6"/>
    <tableColumn id="4" xr3:uid="{325891B2-31F4-4289-9FEA-2D90D1BDC2F6}" name="Qty Received"/>
    <tableColumn id="5" xr3:uid="{8A860755-A8A9-4248-A587-41E888F5C239}" name="Cost Price" dataDxfId="5">
      <calculatedColumnFormula>_xlfn.XLOOKUP(Table5[[#This Row],[Medicine ID]], 'Medicine Master Table'!A:A, 'Medicine Master Table'!F:F, 0)</calculatedColumnFormula>
    </tableColumn>
    <tableColumn id="6" xr3:uid="{193904DB-E756-4B2B-8EDC-67C932190263}" name="Supplier Nam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A6C0-DEFF-495B-8943-7C6B376DE07A}">
  <dimension ref="A1:T1530"/>
  <sheetViews>
    <sheetView tabSelected="1" topLeftCell="D2" zoomScale="93" zoomScaleNormal="70" workbookViewId="0">
      <pane ySplit="1" topLeftCell="A134" activePane="bottomLeft" state="frozen"/>
      <selection activeCell="A2" sqref="A2"/>
      <selection pane="bottomLeft" activeCell="F13" sqref="F13"/>
    </sheetView>
  </sheetViews>
  <sheetFormatPr defaultRowHeight="14.5" x14ac:dyDescent="0.35"/>
  <cols>
    <col min="1" max="1" width="15.26953125" style="7" customWidth="1"/>
    <col min="2" max="2" width="18.453125" style="7" customWidth="1"/>
    <col min="3" max="3" width="43.08984375" style="7" bestFit="1" customWidth="1"/>
    <col min="4" max="4" width="16.81640625" style="7" bestFit="1" customWidth="1"/>
    <col min="5" max="5" width="33.81640625" style="7" customWidth="1"/>
    <col min="6" max="6" width="13.81640625" style="7" customWidth="1"/>
    <col min="7" max="7" width="14.81640625" style="7" customWidth="1"/>
    <col min="8" max="8" width="14.7265625" style="7" customWidth="1"/>
    <col min="9" max="9" width="13.54296875" style="7" customWidth="1"/>
    <col min="10" max="10" width="17.6328125" style="7" customWidth="1"/>
    <col min="11" max="11" width="13.54296875" style="7" customWidth="1"/>
    <col min="12" max="12" width="16.81640625" style="7" customWidth="1"/>
    <col min="13" max="13" width="13.54296875" style="7" customWidth="1"/>
    <col min="14" max="14" width="14.7265625" style="7" customWidth="1"/>
    <col min="15" max="15" width="15.81640625" style="7" customWidth="1"/>
    <col min="16" max="16" width="14.36328125" style="7" customWidth="1"/>
    <col min="17" max="17" width="14.453125" style="7" bestFit="1" customWidth="1"/>
    <col min="18" max="18" width="28.90625" style="7" bestFit="1" customWidth="1"/>
    <col min="19" max="19" width="17.26953125" style="31" bestFit="1" customWidth="1"/>
    <col min="20" max="20" width="13.90625" style="7" bestFit="1" customWidth="1"/>
    <col min="21" max="16384" width="8.7265625" style="7"/>
  </cols>
  <sheetData>
    <row r="1" spans="1:20" ht="36" x14ac:dyDescent="0.8">
      <c r="A1" s="34" t="s">
        <v>48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20" s="9" customFormat="1" x14ac:dyDescent="0.35">
      <c r="A2" s="8" t="s">
        <v>1</v>
      </c>
      <c r="B2" s="8" t="s">
        <v>228</v>
      </c>
      <c r="C2" s="8" t="s">
        <v>3</v>
      </c>
      <c r="D2" s="8" t="s">
        <v>143</v>
      </c>
      <c r="E2" s="8" t="s">
        <v>5</v>
      </c>
      <c r="F2" s="8" t="s">
        <v>153</v>
      </c>
      <c r="G2" s="8" t="s">
        <v>165</v>
      </c>
      <c r="H2" s="8" t="s">
        <v>164</v>
      </c>
      <c r="I2" s="8" t="s">
        <v>4</v>
      </c>
      <c r="J2" s="8" t="s">
        <v>156</v>
      </c>
      <c r="K2" s="8" t="s">
        <v>157</v>
      </c>
      <c r="L2" s="8" t="s">
        <v>158</v>
      </c>
      <c r="M2" s="8" t="s">
        <v>2</v>
      </c>
      <c r="N2" s="8" t="s">
        <v>0</v>
      </c>
      <c r="O2" s="8" t="s">
        <v>162</v>
      </c>
      <c r="P2" s="8" t="s">
        <v>163</v>
      </c>
      <c r="Q2" s="27" t="s">
        <v>532</v>
      </c>
      <c r="R2" s="27" t="s">
        <v>535</v>
      </c>
      <c r="S2" s="32" t="s">
        <v>533</v>
      </c>
      <c r="T2" s="27" t="s">
        <v>534</v>
      </c>
    </row>
    <row r="3" spans="1:20" x14ac:dyDescent="0.35">
      <c r="A3" s="7" t="s">
        <v>103</v>
      </c>
      <c r="B3" s="7" t="s">
        <v>435</v>
      </c>
      <c r="C3" s="7" t="s">
        <v>58</v>
      </c>
      <c r="D3" s="7" t="s">
        <v>56</v>
      </c>
      <c r="E3" s="7" t="s">
        <v>116</v>
      </c>
      <c r="F3" s="7">
        <v>396.23</v>
      </c>
      <c r="G3" s="7">
        <v>50</v>
      </c>
      <c r="H3" s="7">
        <f>Table1[[#This Row],[Cost Price]]/Table1[[#This Row],[Pcs per Box]]</f>
        <v>7.9246000000000008</v>
      </c>
      <c r="I3" s="7">
        <v>9</v>
      </c>
      <c r="J3" s="7">
        <f>SUMIF('Stock In'!C:C, Table1[[#This Row],[Medicine ID]], 'Stock In'!E:E) * Table1[[#This Row],[Pcs per Box]]</f>
        <v>400</v>
      </c>
      <c r="K3" s="7">
        <f>SUMIF('Sales Log Table'!C:C, Table1[[#This Row],[Medicine ID]], 'Sales Log Table'!E:E)</f>
        <v>0</v>
      </c>
      <c r="L3" s="7">
        <f>Table1[[#This Row],[Total Received]] - Table1[[#This Row],[Total Sold]]</f>
        <v>400</v>
      </c>
      <c r="M3" s="10">
        <v>50</v>
      </c>
      <c r="N3" s="11">
        <v>46563</v>
      </c>
      <c r="O3" s="12" t="str">
        <f>IF(Table1[[#This Row],[Current Stock]] &lt;= Table1[[#This Row],[Min Stock]], "REORDER NOW", "Good")</f>
        <v>Good</v>
      </c>
      <c r="P3" s="13">
        <f>(Table1[[#This Row],[Unit Price]] - Table1[[#This Row],[Cost Per Pc]]) * Table1[[#This Row],[Total Sold]]</f>
        <v>0</v>
      </c>
      <c r="R3" s="25">
        <f>(Table1[[#This Row],[Total Received]] / Table1[[#This Row],[Pcs per Box]]) * Table1[[#This Row],[Cost Price]]</f>
        <v>3169.84</v>
      </c>
      <c r="S3" s="31">
        <f>SUM($R$3:Table1[[#This Row],[Annual Consumption Value]]) / SUM(Table1[Annual Consumption Value])</f>
        <v>1.1639751839715244E-2</v>
      </c>
      <c r="T3" s="28" t="str">
        <f>IF(Table1[[#This Row],[Cumulative %]]&lt;=0.8, "A", IF(Table1[[#This Row],[Cumulative %]]&lt;=0.95, "B", "C"))</f>
        <v>A</v>
      </c>
    </row>
    <row r="4" spans="1:20" x14ac:dyDescent="0.35">
      <c r="A4" s="7" t="s">
        <v>104</v>
      </c>
      <c r="B4" s="7" t="s">
        <v>436</v>
      </c>
      <c r="C4" s="7" t="s">
        <v>58</v>
      </c>
      <c r="D4" s="7" t="s">
        <v>56</v>
      </c>
      <c r="E4" s="7" t="s">
        <v>116</v>
      </c>
      <c r="F4" s="7">
        <f>(Table1[[#This Row],[Unit Price]] * 0.9) * Table1[[#This Row],[Pcs per Box]]</f>
        <v>180</v>
      </c>
      <c r="G4" s="7">
        <v>20</v>
      </c>
      <c r="H4" s="7">
        <f>Table1[[#This Row],[Cost Price]]/Table1[[#This Row],[Pcs per Box]]</f>
        <v>9</v>
      </c>
      <c r="I4" s="7">
        <v>10</v>
      </c>
      <c r="J4" s="7">
        <f>SUMIF('Stock In'!C:C, Table1[[#This Row],[Medicine ID]], 'Stock In'!E:E) * Table1[[#This Row],[Pcs per Box]]</f>
        <v>100</v>
      </c>
      <c r="K4" s="7">
        <f>SUMIF('Sales Log Table'!C:C, Table1[[#This Row],[Medicine ID]], 'Sales Log Table'!E:E)</f>
        <v>0</v>
      </c>
      <c r="L4" s="7">
        <f>Table1[[#This Row],[Total Received]] - Table1[[#This Row],[Total Sold]]</f>
        <v>100</v>
      </c>
      <c r="M4" s="10">
        <v>60</v>
      </c>
      <c r="N4" s="11">
        <v>46563</v>
      </c>
      <c r="O4" s="12" t="str">
        <f>IF(Table1[[#This Row],[Current Stock]] &lt;= Table1[[#This Row],[Min Stock]], "REORDER NOW", "Good")</f>
        <v>Good</v>
      </c>
      <c r="P4" s="13">
        <f>(Table1[[#This Row],[Unit Price]] - Table1[[#This Row],[Cost Per Pc]]) * Table1[[#This Row],[Total Sold]]</f>
        <v>0</v>
      </c>
      <c r="R4" s="7">
        <f>(Table1[[#This Row],[Total Received]] / Table1[[#This Row],[Pcs per Box]]) * Table1[[#This Row],[Cost Price]]</f>
        <v>900</v>
      </c>
      <c r="S4" s="31">
        <f>SUM($R$3:Table1[[#This Row],[Annual Consumption Value]]) / SUM(Table1[Annual Consumption Value])</f>
        <v>1.4944580050522011E-2</v>
      </c>
      <c r="T4" s="29" t="str">
        <f>IF(Table1[[#This Row],[Cumulative %]]&lt;=0.8, "A", IF(Table1[[#This Row],[Cumulative %]]&lt;=0.95, "B", "C"))</f>
        <v>A</v>
      </c>
    </row>
    <row r="5" spans="1:20" x14ac:dyDescent="0.35">
      <c r="A5" s="7" t="s">
        <v>105</v>
      </c>
      <c r="B5" s="7" t="s">
        <v>437</v>
      </c>
      <c r="C5" s="7" t="s">
        <v>58</v>
      </c>
      <c r="D5" s="7" t="s">
        <v>56</v>
      </c>
      <c r="E5" s="7" t="s">
        <v>116</v>
      </c>
      <c r="F5" s="7">
        <f>(Table1[[#This Row],[Unit Price]] * 0.9) * Table1[[#This Row],[Pcs per Box]]</f>
        <v>405</v>
      </c>
      <c r="G5" s="7">
        <v>50</v>
      </c>
      <c r="H5" s="7">
        <f>Table1[[#This Row],[Cost Price]]/Table1[[#This Row],[Pcs per Box]]</f>
        <v>8.1</v>
      </c>
      <c r="I5" s="7">
        <v>9</v>
      </c>
      <c r="J5" s="7">
        <f>SUMIF('Stock In'!C:C, Table1[[#This Row],[Medicine ID]], 'Stock In'!E:E) * Table1[[#This Row],[Pcs per Box]]</f>
        <v>150</v>
      </c>
      <c r="K5" s="7">
        <f>SUMIF('Sales Log Table'!C:C, Table1[[#This Row],[Medicine ID]], 'Sales Log Table'!E:E)</f>
        <v>0</v>
      </c>
      <c r="L5" s="7">
        <f>Table1[[#This Row],[Total Received]] - Table1[[#This Row],[Total Sold]]</f>
        <v>150</v>
      </c>
      <c r="M5" s="10">
        <v>50</v>
      </c>
      <c r="N5" s="11">
        <v>46563</v>
      </c>
      <c r="O5" s="12" t="str">
        <f>IF(Table1[[#This Row],[Current Stock]] &lt;= Table1[[#This Row],[Min Stock]], "REORDER NOW", "Good")</f>
        <v>Good</v>
      </c>
      <c r="P5" s="13">
        <f>(Table1[[#This Row],[Unit Price]] - Table1[[#This Row],[Cost Per Pc]]) * Table1[[#This Row],[Total Sold]]</f>
        <v>0</v>
      </c>
      <c r="R5" s="7">
        <f>(Table1[[#This Row],[Total Received]] / Table1[[#This Row],[Pcs per Box]]) * Table1[[#This Row],[Cost Price]]</f>
        <v>1215</v>
      </c>
      <c r="S5" s="31">
        <f>SUM($R$3:Table1[[#This Row],[Annual Consumption Value]]) / SUM(Table1[Annual Consumption Value])</f>
        <v>1.9406098135111145E-2</v>
      </c>
      <c r="T5" s="29" t="str">
        <f>IF(Table1[[#This Row],[Cumulative %]]&lt;=0.8, "A", IF(Table1[[#This Row],[Cumulative %]]&lt;=0.95, "B", "C"))</f>
        <v>A</v>
      </c>
    </row>
    <row r="6" spans="1:20" x14ac:dyDescent="0.35">
      <c r="A6" s="7" t="s">
        <v>106</v>
      </c>
      <c r="B6" s="7" t="s">
        <v>438</v>
      </c>
      <c r="C6" s="7" t="s">
        <v>58</v>
      </c>
      <c r="D6" s="7" t="s">
        <v>56</v>
      </c>
      <c r="E6" s="7" t="s">
        <v>116</v>
      </c>
      <c r="F6" s="7">
        <f>(Table1[[#This Row],[Unit Price]] * 0.9) * Table1[[#This Row],[Pcs per Box]]</f>
        <v>324</v>
      </c>
      <c r="G6" s="7">
        <v>30</v>
      </c>
      <c r="H6" s="7">
        <f>Table1[[#This Row],[Cost Price]]/Table1[[#This Row],[Pcs per Box]]</f>
        <v>10.8</v>
      </c>
      <c r="I6" s="7">
        <v>12</v>
      </c>
      <c r="J6" s="7">
        <f>SUMIF('Stock In'!C:C, Table1[[#This Row],[Medicine ID]], 'Stock In'!E:E) * Table1[[#This Row],[Pcs per Box]]</f>
        <v>60</v>
      </c>
      <c r="K6" s="7">
        <f>SUMIF('Sales Log Table'!C:C, Table1[[#This Row],[Medicine ID]], 'Sales Log Table'!E:E)</f>
        <v>0</v>
      </c>
      <c r="L6" s="7">
        <f>Table1[[#This Row],[Total Received]] - Table1[[#This Row],[Total Sold]]</f>
        <v>60</v>
      </c>
      <c r="M6" s="10">
        <v>30</v>
      </c>
      <c r="N6" s="11">
        <v>46563</v>
      </c>
      <c r="O6" s="12" t="str">
        <f>IF(Table1[[#This Row],[Current Stock]] &lt;= Table1[[#This Row],[Min Stock]], "REORDER NOW", "Good")</f>
        <v>Good</v>
      </c>
      <c r="P6" s="13">
        <f>(Table1[[#This Row],[Unit Price]] - Table1[[#This Row],[Cost Per Pc]]) * Table1[[#This Row],[Total Sold]]</f>
        <v>0</v>
      </c>
      <c r="R6" s="7">
        <f>(Table1[[#This Row],[Total Received]] / Table1[[#This Row],[Pcs per Box]]) * Table1[[#This Row],[Cost Price]]</f>
        <v>648</v>
      </c>
      <c r="S6" s="31">
        <f>SUM($R$3:Table1[[#This Row],[Annual Consumption Value]]) / SUM(Table1[Annual Consumption Value])</f>
        <v>2.1785574446892015E-2</v>
      </c>
      <c r="T6" s="29" t="str">
        <f>IF(Table1[[#This Row],[Cumulative %]]&lt;=0.8, "A", IF(Table1[[#This Row],[Cumulative %]]&lt;=0.95, "B", "C"))</f>
        <v>A</v>
      </c>
    </row>
    <row r="7" spans="1:20" x14ac:dyDescent="0.35">
      <c r="A7" s="7" t="s">
        <v>136</v>
      </c>
      <c r="B7" s="7" t="s">
        <v>94</v>
      </c>
      <c r="C7" s="7" t="s">
        <v>95</v>
      </c>
      <c r="D7" s="7" t="s">
        <v>56</v>
      </c>
      <c r="E7" s="7" t="s">
        <v>116</v>
      </c>
      <c r="F7" s="7">
        <f>(Table1[[#This Row],[Unit Price]] * 0.9) * Table1[[#This Row],[Pcs per Box]]</f>
        <v>405</v>
      </c>
      <c r="G7" s="7">
        <v>150</v>
      </c>
      <c r="H7" s="7">
        <f>Table1[[#This Row],[Cost Price]]/Table1[[#This Row],[Pcs per Box]]</f>
        <v>2.7</v>
      </c>
      <c r="I7" s="7">
        <v>3</v>
      </c>
      <c r="J7" s="7">
        <f>SUMIF('Stock In'!C:C, Table1[[#This Row],[Medicine ID]], 'Stock In'!E:E) * Table1[[#This Row],[Pcs per Box]]</f>
        <v>300</v>
      </c>
      <c r="K7" s="7">
        <f>SUMIF('Sales Log Table'!C:C, Table1[[#This Row],[Medicine ID]], 'Sales Log Table'!E:E)</f>
        <v>10</v>
      </c>
      <c r="L7" s="7">
        <f>Table1[[#This Row],[Total Received]] - Table1[[#This Row],[Total Sold]]</f>
        <v>290</v>
      </c>
      <c r="M7" s="10">
        <v>40</v>
      </c>
      <c r="N7" s="11">
        <v>46563</v>
      </c>
      <c r="O7" s="12" t="str">
        <f>IF(Table1[[#This Row],[Current Stock]] &lt;= Table1[[#This Row],[Min Stock]], "REORDER NOW", "Good")</f>
        <v>Good</v>
      </c>
      <c r="P7" s="13">
        <f>(Table1[[#This Row],[Unit Price]] - Table1[[#This Row],[Cost Per Pc]]) * Table1[[#This Row],[Total Sold]]</f>
        <v>2.9999999999999982</v>
      </c>
      <c r="R7" s="7">
        <f>(Table1[[#This Row],[Total Received]] / Table1[[#This Row],[Pcs per Box]]) * Table1[[#This Row],[Cost Price]]</f>
        <v>810</v>
      </c>
      <c r="S7" s="31">
        <f>SUM($R$3:Table1[[#This Row],[Annual Consumption Value]]) / SUM(Table1[Annual Consumption Value])</f>
        <v>2.4759919836618106E-2</v>
      </c>
      <c r="T7" s="29" t="str">
        <f>IF(Table1[[#This Row],[Cumulative %]]&lt;=0.8, "A", IF(Table1[[#This Row],[Cumulative %]]&lt;=0.95, "B", "C"))</f>
        <v>A</v>
      </c>
    </row>
    <row r="8" spans="1:20" x14ac:dyDescent="0.35">
      <c r="A8" s="7" t="s">
        <v>137</v>
      </c>
      <c r="B8" s="7" t="s">
        <v>96</v>
      </c>
      <c r="C8" s="7" t="s">
        <v>95</v>
      </c>
      <c r="D8" s="7" t="s">
        <v>56</v>
      </c>
      <c r="E8" s="7" t="s">
        <v>116</v>
      </c>
      <c r="F8" s="7">
        <f>(Table1[[#This Row],[Unit Price]] * 0.9) * Table1[[#This Row],[Pcs per Box]]</f>
        <v>225</v>
      </c>
      <c r="G8" s="7">
        <v>100</v>
      </c>
      <c r="H8" s="7">
        <f>Table1[[#This Row],[Cost Price]]/Table1[[#This Row],[Pcs per Box]]</f>
        <v>2.25</v>
      </c>
      <c r="I8" s="7">
        <v>2.5</v>
      </c>
      <c r="J8" s="7">
        <f>SUMIF('Stock In'!C:C, Table1[[#This Row],[Medicine ID]], 'Stock In'!E:E) * Table1[[#This Row],[Pcs per Box]]</f>
        <v>200</v>
      </c>
      <c r="K8" s="7">
        <f>SUMIF('Sales Log Table'!C:C, Table1[[#This Row],[Medicine ID]], 'Sales Log Table'!E:E)</f>
        <v>0</v>
      </c>
      <c r="L8" s="7">
        <f>Table1[[#This Row],[Total Received]] - Table1[[#This Row],[Total Sold]]</f>
        <v>200</v>
      </c>
      <c r="M8" s="10">
        <v>87</v>
      </c>
      <c r="N8" s="11">
        <v>46563</v>
      </c>
      <c r="O8" s="12" t="str">
        <f>IF(Table1[[#This Row],[Current Stock]] &lt;= Table1[[#This Row],[Min Stock]], "REORDER NOW", "Good")</f>
        <v>Good</v>
      </c>
      <c r="P8" s="13">
        <f>(Table1[[#This Row],[Unit Price]] - Table1[[#This Row],[Cost Per Pc]]) * Table1[[#This Row],[Total Sold]]</f>
        <v>0</v>
      </c>
      <c r="R8" s="7">
        <f>(Table1[[#This Row],[Total Received]] / Table1[[#This Row],[Pcs per Box]]) * Table1[[#This Row],[Cost Price]]</f>
        <v>450</v>
      </c>
      <c r="S8" s="31">
        <f>SUM($R$3:Table1[[#This Row],[Annual Consumption Value]]) / SUM(Table1[Annual Consumption Value])</f>
        <v>2.6412333942021488E-2</v>
      </c>
      <c r="T8" s="29" t="str">
        <f>IF(Table1[[#This Row],[Cumulative %]]&lt;=0.8, "A", IF(Table1[[#This Row],[Cumulative %]]&lt;=0.95, "B", "C"))</f>
        <v>A</v>
      </c>
    </row>
    <row r="9" spans="1:20" x14ac:dyDescent="0.35">
      <c r="A9" s="7" t="s">
        <v>138</v>
      </c>
      <c r="B9" s="7" t="s">
        <v>97</v>
      </c>
      <c r="C9" s="7" t="s">
        <v>95</v>
      </c>
      <c r="D9" s="7" t="s">
        <v>56</v>
      </c>
      <c r="E9" s="7" t="s">
        <v>116</v>
      </c>
      <c r="F9" s="7">
        <f>(Table1[[#This Row],[Unit Price]] * 0.9) * Table1[[#This Row],[Pcs per Box]]</f>
        <v>405</v>
      </c>
      <c r="G9" s="7">
        <v>150</v>
      </c>
      <c r="H9" s="7">
        <f>Table1[[#This Row],[Cost Price]]/Table1[[#This Row],[Pcs per Box]]</f>
        <v>2.7</v>
      </c>
      <c r="I9" s="7">
        <v>3</v>
      </c>
      <c r="J9" s="7">
        <f>SUMIF('Stock In'!C:C, Table1[[#This Row],[Medicine ID]], 'Stock In'!E:E) * Table1[[#This Row],[Pcs per Box]]</f>
        <v>600</v>
      </c>
      <c r="K9" s="7">
        <f>SUMIF('Sales Log Table'!C:C, Table1[[#This Row],[Medicine ID]], 'Sales Log Table'!E:E)</f>
        <v>0</v>
      </c>
      <c r="L9" s="7">
        <f>Table1[[#This Row],[Total Received]] - Table1[[#This Row],[Total Sold]]</f>
        <v>600</v>
      </c>
      <c r="M9" s="10">
        <v>67</v>
      </c>
      <c r="N9" s="11">
        <v>46563</v>
      </c>
      <c r="O9" s="12" t="str">
        <f>IF(Table1[[#This Row],[Current Stock]] &lt;= Table1[[#This Row],[Min Stock]], "REORDER NOW", "Good")</f>
        <v>Good</v>
      </c>
      <c r="P9" s="13">
        <f>(Table1[[#This Row],[Unit Price]] - Table1[[#This Row],[Cost Per Pc]]) * Table1[[#This Row],[Total Sold]]</f>
        <v>0</v>
      </c>
      <c r="R9" s="7">
        <f>(Table1[[#This Row],[Total Received]] / Table1[[#This Row],[Pcs per Box]]) * Table1[[#This Row],[Cost Price]]</f>
        <v>1620</v>
      </c>
      <c r="S9" s="31">
        <f>SUM($R$3:Table1[[#This Row],[Annual Consumption Value]]) / SUM(Table1[Annual Consumption Value])</f>
        <v>3.2361024721473668E-2</v>
      </c>
      <c r="T9" s="29" t="str">
        <f>IF(Table1[[#This Row],[Cumulative %]]&lt;=0.8, "A", IF(Table1[[#This Row],[Cumulative %]]&lt;=0.95, "B", "C"))</f>
        <v>A</v>
      </c>
    </row>
    <row r="10" spans="1:20" x14ac:dyDescent="0.35">
      <c r="A10" s="7" t="s">
        <v>139</v>
      </c>
      <c r="B10" s="7" t="s">
        <v>98</v>
      </c>
      <c r="C10" s="7" t="s">
        <v>95</v>
      </c>
      <c r="D10" s="7" t="s">
        <v>101</v>
      </c>
      <c r="E10" s="7" t="s">
        <v>116</v>
      </c>
      <c r="F10" s="7">
        <f>(Table1[[#This Row],[Unit Price]] * 0.9) * Table1[[#This Row],[Pcs per Box]]</f>
        <v>22.5</v>
      </c>
      <c r="G10" s="7">
        <v>1</v>
      </c>
      <c r="H10" s="7">
        <f>Table1[[#This Row],[Cost Price]]/Table1[[#This Row],[Pcs per Box]]</f>
        <v>22.5</v>
      </c>
      <c r="I10" s="7">
        <v>25</v>
      </c>
      <c r="J10" s="7">
        <f>SUMIF('Stock In'!C:C, Table1[[#This Row],[Medicine ID]], 'Stock In'!E:E) * Table1[[#This Row],[Pcs per Box]]</f>
        <v>10</v>
      </c>
      <c r="K10" s="7">
        <f>SUMIF('Sales Log Table'!C:C, Table1[[#This Row],[Medicine ID]], 'Sales Log Table'!E:E)</f>
        <v>0</v>
      </c>
      <c r="L10" s="7">
        <f>Table1[[#This Row],[Total Received]] - Table1[[#This Row],[Total Sold]]</f>
        <v>10</v>
      </c>
      <c r="M10" s="10">
        <v>3</v>
      </c>
      <c r="N10" s="11">
        <v>46563</v>
      </c>
      <c r="O10" s="12" t="str">
        <f>IF(Table1[[#This Row],[Current Stock]] &lt;= Table1[[#This Row],[Min Stock]], "REORDER NOW", "Good")</f>
        <v>Good</v>
      </c>
      <c r="P10" s="13">
        <f>(Table1[[#This Row],[Unit Price]] - Table1[[#This Row],[Cost Per Pc]]) * Table1[[#This Row],[Total Sold]]</f>
        <v>0</v>
      </c>
      <c r="R10" s="7">
        <f>(Table1[[#This Row],[Total Received]] / Table1[[#This Row],[Pcs per Box]]) * Table1[[#This Row],[Cost Price]]</f>
        <v>225</v>
      </c>
      <c r="S10" s="31">
        <f>SUM($R$3:Table1[[#This Row],[Annual Consumption Value]]) / SUM(Table1[Annual Consumption Value])</f>
        <v>3.318723177417536E-2</v>
      </c>
      <c r="T10" s="29" t="str">
        <f>IF(Table1[[#This Row],[Cumulative %]]&lt;=0.8, "A", IF(Table1[[#This Row],[Cumulative %]]&lt;=0.95, "B", "C"))</f>
        <v>A</v>
      </c>
    </row>
    <row r="11" spans="1:20" x14ac:dyDescent="0.35">
      <c r="A11" s="7" t="s">
        <v>140</v>
      </c>
      <c r="B11" s="7" t="s">
        <v>100</v>
      </c>
      <c r="C11" s="7" t="s">
        <v>95</v>
      </c>
      <c r="D11" s="7" t="s">
        <v>101</v>
      </c>
      <c r="E11" s="7" t="s">
        <v>116</v>
      </c>
      <c r="F11" s="7">
        <f>(Table1[[#This Row],[Unit Price]] * 0.9) * Table1[[#This Row],[Pcs per Box]]</f>
        <v>25.2</v>
      </c>
      <c r="G11" s="7">
        <v>1</v>
      </c>
      <c r="H11" s="7">
        <f>Table1[[#This Row],[Cost Price]]/Table1[[#This Row],[Pcs per Box]]</f>
        <v>25.2</v>
      </c>
      <c r="I11" s="7">
        <v>28</v>
      </c>
      <c r="J11" s="7">
        <f>SUMIF('Stock In'!C:C, Table1[[#This Row],[Medicine ID]], 'Stock In'!E:E) * Table1[[#This Row],[Pcs per Box]]</f>
        <v>10</v>
      </c>
      <c r="K11" s="7">
        <f>SUMIF('Sales Log Table'!C:C, Table1[[#This Row],[Medicine ID]], 'Sales Log Table'!E:E)</f>
        <v>0</v>
      </c>
      <c r="L11" s="7">
        <f>Table1[[#This Row],[Total Received]] - Table1[[#This Row],[Total Sold]]</f>
        <v>10</v>
      </c>
      <c r="M11" s="10">
        <v>5</v>
      </c>
      <c r="N11" s="11">
        <v>46563</v>
      </c>
      <c r="O11" s="12" t="str">
        <f>IF(Table1[[#This Row],[Current Stock]] &lt;= Table1[[#This Row],[Min Stock]], "REORDER NOW", "Good")</f>
        <v>Good</v>
      </c>
      <c r="P11" s="13">
        <f>(Table1[[#This Row],[Unit Price]] - Table1[[#This Row],[Cost Per Pc]]) * Table1[[#This Row],[Total Sold]]</f>
        <v>0</v>
      </c>
      <c r="R11" s="7">
        <f>(Table1[[#This Row],[Total Received]] / Table1[[#This Row],[Pcs per Box]]) * Table1[[#This Row],[Cost Price]]</f>
        <v>252</v>
      </c>
      <c r="S11" s="31">
        <f>SUM($R$3:Table1[[#This Row],[Annual Consumption Value]]) / SUM(Table1[Annual Consumption Value])</f>
        <v>3.4112583673201254E-2</v>
      </c>
      <c r="T11" s="29" t="str">
        <f>IF(Table1[[#This Row],[Cumulative %]]&lt;=0.8, "A", IF(Table1[[#This Row],[Cumulative %]]&lt;=0.95, "B", "C"))</f>
        <v>A</v>
      </c>
    </row>
    <row r="12" spans="1:20" x14ac:dyDescent="0.35">
      <c r="A12" s="7" t="s">
        <v>141</v>
      </c>
      <c r="B12" s="7" t="s">
        <v>102</v>
      </c>
      <c r="C12" s="7" t="s">
        <v>95</v>
      </c>
      <c r="D12" s="7" t="s">
        <v>99</v>
      </c>
      <c r="E12" s="7" t="s">
        <v>116</v>
      </c>
      <c r="F12" s="7">
        <f>(Table1[[#This Row],[Unit Price]] * 0.9) * Table1[[#This Row],[Pcs per Box]]</f>
        <v>31.5</v>
      </c>
      <c r="G12" s="7">
        <v>1</v>
      </c>
      <c r="H12" s="7">
        <f>Table1[[#This Row],[Cost Price]]/Table1[[#This Row],[Pcs per Box]]</f>
        <v>31.5</v>
      </c>
      <c r="I12" s="7">
        <v>35</v>
      </c>
      <c r="J12" s="7">
        <f>SUMIF('Stock In'!C:C, Table1[[#This Row],[Medicine ID]], 'Stock In'!E:E) * Table1[[#This Row],[Pcs per Box]]</f>
        <v>5</v>
      </c>
      <c r="K12" s="7">
        <f>SUMIF('Sales Log Table'!C:C, Table1[[#This Row],[Medicine ID]], 'Sales Log Table'!E:E)</f>
        <v>0</v>
      </c>
      <c r="L12" s="7">
        <f>Table1[[#This Row],[Total Received]] - Table1[[#This Row],[Total Sold]]</f>
        <v>5</v>
      </c>
      <c r="M12" s="10">
        <v>2</v>
      </c>
      <c r="N12" s="11">
        <v>46563</v>
      </c>
      <c r="O12" s="12" t="str">
        <f>IF(Table1[[#This Row],[Current Stock]] &lt;= Table1[[#This Row],[Min Stock]], "REORDER NOW", "Good")</f>
        <v>Good</v>
      </c>
      <c r="P12" s="13">
        <f>(Table1[[#This Row],[Unit Price]] - Table1[[#This Row],[Cost Per Pc]]) * Table1[[#This Row],[Total Sold]]</f>
        <v>0</v>
      </c>
      <c r="R12" s="7">
        <f>(Table1[[#This Row],[Total Received]] / Table1[[#This Row],[Pcs per Box]]) * Table1[[#This Row],[Cost Price]]</f>
        <v>157.5</v>
      </c>
      <c r="S12" s="31">
        <f>SUM($R$3:Table1[[#This Row],[Annual Consumption Value]]) / SUM(Table1[Annual Consumption Value])</f>
        <v>3.4690928610092438E-2</v>
      </c>
      <c r="T12" s="29" t="str">
        <f>IF(Table1[[#This Row],[Cumulative %]]&lt;=0.8, "A", IF(Table1[[#This Row],[Cumulative %]]&lt;=0.95, "B", "C"))</f>
        <v>A</v>
      </c>
    </row>
    <row r="13" spans="1:20" x14ac:dyDescent="0.35">
      <c r="A13" s="7" t="s">
        <v>257</v>
      </c>
      <c r="B13" s="7" t="s">
        <v>439</v>
      </c>
      <c r="C13" s="7" t="s">
        <v>385</v>
      </c>
      <c r="D13" s="7" t="s">
        <v>56</v>
      </c>
      <c r="E13" s="7" t="s">
        <v>116</v>
      </c>
      <c r="F13" s="13">
        <v>422.43</v>
      </c>
      <c r="G13" s="7">
        <v>30</v>
      </c>
      <c r="H13" s="13">
        <f>Table1[[#This Row],[Cost Price]]/Table1[[#This Row],[Pcs per Box]]</f>
        <v>14.081</v>
      </c>
      <c r="I13" s="7">
        <v>16</v>
      </c>
      <c r="J13" s="13">
        <f>SUMIF('Stock In'!C:C, Table1[[#This Row],[Medicine ID]], 'Stock In'!E:E) * Table1[[#This Row],[Pcs per Box]]</f>
        <v>180</v>
      </c>
      <c r="K13" s="13">
        <f>SUMIF('Sales Log Table'!C:C, Table1[[#This Row],[Medicine ID]], 'Sales Log Table'!E:E)</f>
        <v>0</v>
      </c>
      <c r="L13" s="13">
        <f>Table1[[#This Row],[Total Received]] - Table1[[#This Row],[Total Sold]]</f>
        <v>180</v>
      </c>
      <c r="M13" s="10">
        <v>30</v>
      </c>
      <c r="N13" s="11">
        <v>46563</v>
      </c>
      <c r="O13" s="12" t="str">
        <f>IF(Table1[[#This Row],[Current Stock]] &lt;= Table1[[#This Row],[Min Stock]], "REORDER NOW", "Good")</f>
        <v>Good</v>
      </c>
      <c r="P13" s="13">
        <f>(Table1[[#This Row],[Unit Price]] - Table1[[#This Row],[Cost Per Pc]]) * Table1[[#This Row],[Total Sold]]</f>
        <v>0</v>
      </c>
      <c r="R13" s="7">
        <f>(Table1[[#This Row],[Total Received]] / Table1[[#This Row],[Pcs per Box]]) * Table1[[#This Row],[Cost Price]]</f>
        <v>2534.58</v>
      </c>
      <c r="S13" s="31">
        <f>SUM($R$3:Table1[[#This Row],[Annual Consumption Value]]) / SUM(Table1[Annual Consumption Value])</f>
        <v>4.3997985817366449E-2</v>
      </c>
      <c r="T13" s="29" t="str">
        <f>IF(Table1[[#This Row],[Cumulative %]]&lt;=0.8, "A", IF(Table1[[#This Row],[Cumulative %]]&lt;=0.95, "B", "C"))</f>
        <v>A</v>
      </c>
    </row>
    <row r="14" spans="1:20" x14ac:dyDescent="0.35">
      <c r="A14" s="7" t="s">
        <v>308</v>
      </c>
      <c r="B14" s="7" t="s">
        <v>267</v>
      </c>
      <c r="C14" s="7" t="s">
        <v>394</v>
      </c>
      <c r="D14" s="7" t="s">
        <v>56</v>
      </c>
      <c r="E14" s="7" t="s">
        <v>395</v>
      </c>
      <c r="F14" s="13">
        <v>448.83</v>
      </c>
      <c r="G14" s="7">
        <v>30</v>
      </c>
      <c r="H14" s="13">
        <f>Table1[[#This Row],[Cost Price]]/Table1[[#This Row],[Pcs per Box]]</f>
        <v>14.961</v>
      </c>
      <c r="I14" s="7">
        <v>17</v>
      </c>
      <c r="J14" s="13">
        <f>SUMIF('Stock In'!C:C, Table1[[#This Row],[Medicine ID]], 'Stock In'!E:E) * Table1[[#This Row],[Pcs per Box]]</f>
        <v>450</v>
      </c>
      <c r="K14" s="13">
        <f>SUMIF('Sales Log Table'!C:C, Table1[[#This Row],[Medicine ID]], 'Sales Log Table'!E:E)</f>
        <v>0</v>
      </c>
      <c r="L14" s="13">
        <f>Table1[[#This Row],[Total Received]] - Table1[[#This Row],[Total Sold]]</f>
        <v>450</v>
      </c>
      <c r="M14" s="10">
        <v>30</v>
      </c>
      <c r="N14" s="11">
        <v>46563</v>
      </c>
      <c r="O14" s="12" t="str">
        <f>IF(Table1[[#This Row],[Current Stock]] &lt;= Table1[[#This Row],[Min Stock]], "REORDER NOW", "Good")</f>
        <v>Good</v>
      </c>
      <c r="P14" s="13">
        <f>(Table1[[#This Row],[Unit Price]] - Table1[[#This Row],[Cost Per Pc]]) * Table1[[#This Row],[Total Sold]]</f>
        <v>0</v>
      </c>
      <c r="R14" s="7">
        <f>(Table1[[#This Row],[Total Received]] / Table1[[#This Row],[Pcs per Box]]) * Table1[[#This Row],[Cost Price]]</f>
        <v>6732.45</v>
      </c>
      <c r="S14" s="31">
        <f>SUM($R$3:Table1[[#This Row],[Annual Consumption Value]]) / SUM(Table1[Annual Consumption Value])</f>
        <v>6.8719753248306467E-2</v>
      </c>
      <c r="T14" s="29" t="str">
        <f>IF(Table1[[#This Row],[Cumulative %]]&lt;=0.8, "A", IF(Table1[[#This Row],[Cumulative %]]&lt;=0.95, "B", "C"))</f>
        <v>A</v>
      </c>
    </row>
    <row r="15" spans="1:20" x14ac:dyDescent="0.35">
      <c r="A15" s="7" t="s">
        <v>316</v>
      </c>
      <c r="B15" s="7" t="s">
        <v>285</v>
      </c>
      <c r="C15" s="7" t="s">
        <v>394</v>
      </c>
      <c r="D15" s="7" t="s">
        <v>56</v>
      </c>
      <c r="E15" s="7" t="s">
        <v>395</v>
      </c>
      <c r="F15" s="13">
        <v>443.56</v>
      </c>
      <c r="G15" s="7">
        <v>42</v>
      </c>
      <c r="H15" s="13">
        <f>Table1[[#This Row],[Cost Price]]/Table1[[#This Row],[Pcs per Box]]</f>
        <v>10.560952380952381</v>
      </c>
      <c r="I15" s="7">
        <v>12</v>
      </c>
      <c r="J15" s="13">
        <f>SUMIF('Stock In'!C:C, Table1[[#This Row],[Medicine ID]], 'Stock In'!E:E) * Table1[[#This Row],[Pcs per Box]]</f>
        <v>84</v>
      </c>
      <c r="K15" s="13">
        <f>SUMIF('Sales Log Table'!C:C, Table1[[#This Row],[Medicine ID]], 'Sales Log Table'!E:E)</f>
        <v>0</v>
      </c>
      <c r="L15" s="13">
        <f>Table1[[#This Row],[Total Received]] - Table1[[#This Row],[Total Sold]]</f>
        <v>84</v>
      </c>
      <c r="M15" s="10">
        <v>42</v>
      </c>
      <c r="N15" s="11">
        <v>46563</v>
      </c>
      <c r="O15" s="12" t="str">
        <f>IF(Table1[[#This Row],[Current Stock]] &lt;= Table1[[#This Row],[Min Stock]], "REORDER NOW", "Good")</f>
        <v>Good</v>
      </c>
      <c r="P15" s="13">
        <f>(Table1[[#This Row],[Unit Price]] - Table1[[#This Row],[Cost Per Pc]]) * Table1[[#This Row],[Total Sold]]</f>
        <v>0</v>
      </c>
      <c r="R15" s="7">
        <f>(Table1[[#This Row],[Total Received]] / Table1[[#This Row],[Pcs per Box]]) * Table1[[#This Row],[Cost Price]]</f>
        <v>887.12</v>
      </c>
      <c r="S15" s="31">
        <f>SUM($R$3:Table1[[#This Row],[Annual Consumption Value]]) / SUM(Table1[Annual Consumption Value])</f>
        <v>7.1977285695385237E-2</v>
      </c>
      <c r="T15" s="29" t="str">
        <f>IF(Table1[[#This Row],[Cumulative %]]&lt;=0.8, "A", IF(Table1[[#This Row],[Cumulative %]]&lt;=0.95, "B", "C"))</f>
        <v>A</v>
      </c>
    </row>
    <row r="16" spans="1:20" x14ac:dyDescent="0.35">
      <c r="A16" s="7" t="s">
        <v>321</v>
      </c>
      <c r="B16" s="7" t="s">
        <v>289</v>
      </c>
      <c r="C16" s="7" t="s">
        <v>409</v>
      </c>
      <c r="D16" s="7" t="s">
        <v>57</v>
      </c>
      <c r="E16" s="7" t="s">
        <v>410</v>
      </c>
      <c r="F16" s="13">
        <v>528.04</v>
      </c>
      <c r="G16" s="7">
        <v>30</v>
      </c>
      <c r="H16" s="13">
        <f>Table1[[#This Row],[Cost Price]]/Table1[[#This Row],[Pcs per Box]]</f>
        <v>17.601333333333333</v>
      </c>
      <c r="I16" s="7">
        <v>20</v>
      </c>
      <c r="J16" s="13">
        <f>SUMIF('Stock In'!C:C, Table1[[#This Row],[Medicine ID]], 'Stock In'!E:E) * Table1[[#This Row],[Pcs per Box]]</f>
        <v>150</v>
      </c>
      <c r="K16" s="13">
        <f>SUMIF('Sales Log Table'!C:C, Table1[[#This Row],[Medicine ID]], 'Sales Log Table'!E:E)</f>
        <v>0</v>
      </c>
      <c r="L16" s="13">
        <f>Table1[[#This Row],[Total Received]] - Table1[[#This Row],[Total Sold]]</f>
        <v>150</v>
      </c>
      <c r="M16" s="10">
        <v>30</v>
      </c>
      <c r="N16" s="11">
        <v>46563</v>
      </c>
      <c r="O16" s="12" t="str">
        <f>IF(Table1[[#This Row],[Current Stock]] &lt;= Table1[[#This Row],[Min Stock]], "REORDER NOW", "Good")</f>
        <v>Good</v>
      </c>
      <c r="P16" s="13">
        <f>(Table1[[#This Row],[Unit Price]] - Table1[[#This Row],[Cost Per Pc]]) * Table1[[#This Row],[Total Sold]]</f>
        <v>0</v>
      </c>
      <c r="R16" s="7">
        <f>(Table1[[#This Row],[Total Received]] / Table1[[#This Row],[Pcs per Box]]) * Table1[[#This Row],[Cost Price]]</f>
        <v>2640.2</v>
      </c>
      <c r="S16" s="31">
        <f>SUM($R$3:Table1[[#This Row],[Annual Consumption Value]]) / SUM(Table1[Annual Consumption Value])</f>
        <v>8.1672182853354147E-2</v>
      </c>
      <c r="T16" s="29" t="str">
        <f>IF(Table1[[#This Row],[Cumulative %]]&lt;=0.8, "A", IF(Table1[[#This Row],[Cumulative %]]&lt;=0.95, "B", "C"))</f>
        <v>A</v>
      </c>
    </row>
    <row r="17" spans="1:20" x14ac:dyDescent="0.35">
      <c r="A17" s="7" t="s">
        <v>327</v>
      </c>
      <c r="B17" s="7" t="s">
        <v>263</v>
      </c>
      <c r="C17" s="7" t="s">
        <v>387</v>
      </c>
      <c r="D17" s="14" t="s">
        <v>56</v>
      </c>
      <c r="E17" s="7" t="s">
        <v>116</v>
      </c>
      <c r="F17" s="13">
        <v>528.04</v>
      </c>
      <c r="G17" s="7">
        <v>60</v>
      </c>
      <c r="H17" s="13">
        <f>Table1[[#This Row],[Cost Price]]/Table1[[#This Row],[Pcs per Box]]</f>
        <v>8.8006666666666664</v>
      </c>
      <c r="I17" s="7">
        <v>10</v>
      </c>
      <c r="J17" s="13">
        <f>SUMIF('Stock In'!C:C, Table1[[#This Row],[Medicine ID]], 'Stock In'!E:E) * Table1[[#This Row],[Pcs per Box]]</f>
        <v>300</v>
      </c>
      <c r="K17" s="13">
        <f>SUMIF('Sales Log Table'!C:C, Table1[[#This Row],[Medicine ID]], 'Sales Log Table'!E:E)</f>
        <v>10</v>
      </c>
      <c r="L17" s="13">
        <f>Table1[[#This Row],[Total Received]] - Table1[[#This Row],[Total Sold]]</f>
        <v>290</v>
      </c>
      <c r="M17" s="10">
        <v>60</v>
      </c>
      <c r="N17" s="11">
        <v>46563</v>
      </c>
      <c r="O17" s="12" t="str">
        <f>IF(Table1[[#This Row],[Current Stock]] &lt;= Table1[[#This Row],[Min Stock]], "REORDER NOW", "Good")</f>
        <v>Good</v>
      </c>
      <c r="P17" s="13">
        <f>(Table1[[#This Row],[Unit Price]] - Table1[[#This Row],[Cost Per Pc]]) * Table1[[#This Row],[Total Sold]]</f>
        <v>11.993333333333336</v>
      </c>
      <c r="R17" s="7">
        <f>(Table1[[#This Row],[Total Received]] / Table1[[#This Row],[Pcs per Box]]) * Table1[[#This Row],[Cost Price]]</f>
        <v>2640.2</v>
      </c>
      <c r="S17" s="31">
        <f>SUM($R$3:Table1[[#This Row],[Annual Consumption Value]]) / SUM(Table1[Annual Consumption Value])</f>
        <v>9.1367080011323071E-2</v>
      </c>
      <c r="T17" s="29" t="str">
        <f>IF(Table1[[#This Row],[Cumulative %]]&lt;=0.8, "A", IF(Table1[[#This Row],[Cumulative %]]&lt;=0.95, "B", "C"))</f>
        <v>A</v>
      </c>
    </row>
    <row r="18" spans="1:20" x14ac:dyDescent="0.35">
      <c r="A18" s="7" t="s">
        <v>431</v>
      </c>
      <c r="B18" s="7" t="s">
        <v>432</v>
      </c>
      <c r="C18" s="7" t="s">
        <v>385</v>
      </c>
      <c r="D18" s="7" t="s">
        <v>56</v>
      </c>
      <c r="E18" s="7" t="s">
        <v>116</v>
      </c>
      <c r="F18" s="13">
        <v>396.03</v>
      </c>
      <c r="G18" s="7">
        <v>30</v>
      </c>
      <c r="H18" s="13">
        <f>Table1[[#This Row],[Cost Price]]/Table1[[#This Row],[Pcs per Box]]</f>
        <v>13.200999999999999</v>
      </c>
      <c r="I18" s="7">
        <v>15</v>
      </c>
      <c r="J18" s="13">
        <f>SUMIF('Stock In'!C:C, Table1[[#This Row],[Medicine ID]], 'Stock In'!E:E) * Table1[[#This Row],[Pcs per Box]]</f>
        <v>600</v>
      </c>
      <c r="K18" s="13">
        <f>SUMIF('Sales Log Table'!C:C, Table1[[#This Row],[Medicine ID]], 'Sales Log Table'!E:E)</f>
        <v>10</v>
      </c>
      <c r="L18" s="13">
        <f>Table1[[#This Row],[Total Received]] - Table1[[#This Row],[Total Sold]]</f>
        <v>590</v>
      </c>
      <c r="M18" s="10">
        <v>50</v>
      </c>
      <c r="N18" s="11"/>
      <c r="O18" s="12" t="str">
        <f>IF(Table1[[#This Row],[Current Stock]] &lt;= Table1[[#This Row],[Min Stock]], "REORDER NOW", "Good")</f>
        <v>Good</v>
      </c>
      <c r="P18" s="13">
        <f>(Table1[[#This Row],[Unit Price]] - Table1[[#This Row],[Cost Per Pc]]) * Table1[[#This Row],[Total Sold]]</f>
        <v>17.990000000000013</v>
      </c>
      <c r="R18" s="7">
        <f>(Table1[[#This Row],[Total Received]] / Table1[[#This Row],[Pcs per Box]]) * Table1[[#This Row],[Cost Price]]</f>
        <v>7920.5999999999995</v>
      </c>
      <c r="S18" s="31">
        <f>SUM($R$3:Table1[[#This Row],[Annual Consumption Value]]) / SUM(Table1[Annual Consumption Value])</f>
        <v>0.12045177148522981</v>
      </c>
      <c r="T18" s="29" t="str">
        <f>IF(Table1[[#This Row],[Cumulative %]]&lt;=0.8, "A", IF(Table1[[#This Row],[Cumulative %]]&lt;=0.95, "B", "C"))</f>
        <v>A</v>
      </c>
    </row>
    <row r="19" spans="1:20" x14ac:dyDescent="0.35">
      <c r="A19" s="7" t="s">
        <v>330</v>
      </c>
      <c r="B19" s="7" t="s">
        <v>279</v>
      </c>
      <c r="C19" s="7" t="s">
        <v>426</v>
      </c>
      <c r="D19" s="7" t="s">
        <v>99</v>
      </c>
      <c r="E19" s="7" t="s">
        <v>427</v>
      </c>
      <c r="F19" s="13">
        <v>96.83</v>
      </c>
      <c r="G19" s="7">
        <v>1</v>
      </c>
      <c r="H19" s="13">
        <f>Table1[[#This Row],[Cost Price]]/Table1[[#This Row],[Pcs per Box]]</f>
        <v>96.83</v>
      </c>
      <c r="I19" s="7">
        <v>110</v>
      </c>
      <c r="J19" s="13">
        <f>SUMIF('Stock In'!C:C, Table1[[#This Row],[Medicine ID]], 'Stock In'!E:E) * Table1[[#This Row],[Pcs per Box]]</f>
        <v>24</v>
      </c>
      <c r="K19" s="13">
        <f>SUMIF('Sales Log Table'!C:C, Table1[[#This Row],[Medicine ID]], 'Sales Log Table'!E:E)</f>
        <v>0</v>
      </c>
      <c r="L19" s="13">
        <f>Table1[[#This Row],[Total Received]] - Table1[[#This Row],[Total Sold]]</f>
        <v>24</v>
      </c>
      <c r="M19" s="10">
        <v>1</v>
      </c>
      <c r="N19" s="11">
        <v>46563</v>
      </c>
      <c r="O19" s="12" t="str">
        <f>IF(Table1[[#This Row],[Current Stock]] &lt;= Table1[[#This Row],[Min Stock]], "REORDER NOW", "Good")</f>
        <v>Good</v>
      </c>
      <c r="P19" s="13">
        <f>(Table1[[#This Row],[Unit Price]] - Table1[[#This Row],[Cost Per Pc]]) * Table1[[#This Row],[Total Sold]]</f>
        <v>0</v>
      </c>
      <c r="R19" s="7">
        <f>(Table1[[#This Row],[Total Received]] / Table1[[#This Row],[Pcs per Box]]) * Table1[[#This Row],[Cost Price]]</f>
        <v>2323.92</v>
      </c>
      <c r="S19" s="31">
        <f>SUM($R$3:Table1[[#This Row],[Annual Consumption Value]]) / SUM(Table1[Annual Consumption Value])</f>
        <v>0.12898527856929431</v>
      </c>
      <c r="T19" s="29" t="str">
        <f>IF(Table1[[#This Row],[Cumulative %]]&lt;=0.8, "A", IF(Table1[[#This Row],[Cumulative %]]&lt;=0.95, "B", "C"))</f>
        <v>A</v>
      </c>
    </row>
    <row r="20" spans="1:20" x14ac:dyDescent="0.35">
      <c r="A20" s="7" t="s">
        <v>331</v>
      </c>
      <c r="B20" s="7" t="s">
        <v>294</v>
      </c>
      <c r="C20" s="7" t="s">
        <v>409</v>
      </c>
      <c r="D20" s="7" t="s">
        <v>57</v>
      </c>
      <c r="E20" s="7" t="s">
        <v>410</v>
      </c>
      <c r="F20" s="13">
        <v>528</v>
      </c>
      <c r="G20" s="7">
        <v>30</v>
      </c>
      <c r="H20" s="13">
        <f>Table1[[#This Row],[Cost Price]]/Table1[[#This Row],[Pcs per Box]]</f>
        <v>17.600000000000001</v>
      </c>
      <c r="I20" s="7">
        <v>20</v>
      </c>
      <c r="J20" s="13">
        <f>SUMIF('Stock In'!C:C, Table1[[#This Row],[Medicine ID]], 'Stock In'!E:E) * Table1[[#This Row],[Pcs per Box]]</f>
        <v>150</v>
      </c>
      <c r="K20" s="13">
        <f>SUMIF('Sales Log Table'!C:C, Table1[[#This Row],[Medicine ID]], 'Sales Log Table'!E:E)</f>
        <v>0</v>
      </c>
      <c r="L20" s="13">
        <f>Table1[[#This Row],[Total Received]] - Table1[[#This Row],[Total Sold]]</f>
        <v>150</v>
      </c>
      <c r="M20" s="10">
        <v>30</v>
      </c>
      <c r="N20" s="11">
        <v>46563</v>
      </c>
      <c r="O20" s="12" t="str">
        <f>IF(Table1[[#This Row],[Current Stock]] &lt;= Table1[[#This Row],[Min Stock]], "REORDER NOW", "Good")</f>
        <v>Good</v>
      </c>
      <c r="P20" s="13">
        <f>(Table1[[#This Row],[Unit Price]] - Table1[[#This Row],[Cost Per Pc]]) * Table1[[#This Row],[Total Sold]]</f>
        <v>0</v>
      </c>
      <c r="R20" s="7">
        <f>(Table1[[#This Row],[Total Received]] / Table1[[#This Row],[Pcs per Box]]) * Table1[[#This Row],[Cost Price]]</f>
        <v>2640</v>
      </c>
      <c r="S20" s="31">
        <f>SUM($R$3:Table1[[#This Row],[Annual Consumption Value]]) / SUM(Table1[Annual Consumption Value])</f>
        <v>0.13867944132099416</v>
      </c>
      <c r="T20" s="29" t="str">
        <f>IF(Table1[[#This Row],[Cumulative %]]&lt;=0.8, "A", IF(Table1[[#This Row],[Cumulative %]]&lt;=0.95, "B", "C"))</f>
        <v>A</v>
      </c>
    </row>
    <row r="21" spans="1:20" x14ac:dyDescent="0.35">
      <c r="A21" s="7" t="s">
        <v>336</v>
      </c>
      <c r="B21" s="7" t="s">
        <v>300</v>
      </c>
      <c r="C21" s="7" t="s">
        <v>420</v>
      </c>
      <c r="D21" s="7" t="s">
        <v>56</v>
      </c>
      <c r="E21" s="7" t="s">
        <v>421</v>
      </c>
      <c r="F21" s="13">
        <v>264</v>
      </c>
      <c r="G21" s="7">
        <v>100</v>
      </c>
      <c r="H21" s="13">
        <f>Table1[[#This Row],[Cost Price]]/Table1[[#This Row],[Pcs per Box]]</f>
        <v>2.64</v>
      </c>
      <c r="I21" s="7">
        <v>3</v>
      </c>
      <c r="J21" s="13">
        <f>SUMIF('Stock In'!C:C, Table1[[#This Row],[Medicine ID]], 'Stock In'!E:E) * Table1[[#This Row],[Pcs per Box]]</f>
        <v>500</v>
      </c>
      <c r="K21" s="13">
        <f>SUMIF('Sales Log Table'!C:C, Table1[[#This Row],[Medicine ID]], 'Sales Log Table'!E:E)</f>
        <v>0</v>
      </c>
      <c r="L21" s="13">
        <f>Table1[[#This Row],[Total Received]] - Table1[[#This Row],[Total Sold]]</f>
        <v>500</v>
      </c>
      <c r="M21" s="10">
        <v>100</v>
      </c>
      <c r="N21" s="11">
        <v>46563</v>
      </c>
      <c r="O21" s="12" t="str">
        <f>IF(Table1[[#This Row],[Current Stock]] &lt;= Table1[[#This Row],[Min Stock]], "REORDER NOW", "Good")</f>
        <v>Good</v>
      </c>
      <c r="P21" s="13">
        <f>(Table1[[#This Row],[Unit Price]] - Table1[[#This Row],[Cost Per Pc]]) * Table1[[#This Row],[Total Sold]]</f>
        <v>0</v>
      </c>
      <c r="R21" s="7">
        <f>(Table1[[#This Row],[Total Received]] / Table1[[#This Row],[Pcs per Box]]) * Table1[[#This Row],[Cost Price]]</f>
        <v>1320</v>
      </c>
      <c r="S21" s="31">
        <f>SUM($R$3:Table1[[#This Row],[Annual Consumption Value]]) / SUM(Table1[Annual Consumption Value])</f>
        <v>0.14352652269684407</v>
      </c>
      <c r="T21" s="29" t="str">
        <f>IF(Table1[[#This Row],[Cumulative %]]&lt;=0.8, "A", IF(Table1[[#This Row],[Cumulative %]]&lt;=0.95, "B", "C"))</f>
        <v>A</v>
      </c>
    </row>
    <row r="22" spans="1:20" x14ac:dyDescent="0.35">
      <c r="A22" s="7" t="s">
        <v>433</v>
      </c>
      <c r="B22" s="7" t="s">
        <v>434</v>
      </c>
      <c r="C22" s="7" t="s">
        <v>58</v>
      </c>
      <c r="D22" s="7" t="s">
        <v>56</v>
      </c>
      <c r="E22" s="7" t="s">
        <v>116</v>
      </c>
      <c r="F22" s="13">
        <v>176.02</v>
      </c>
      <c r="G22" s="7">
        <v>20</v>
      </c>
      <c r="H22" s="13">
        <f>Table1[[#This Row],[Cost Price]]/Table1[[#This Row],[Pcs per Box]]</f>
        <v>8.8010000000000002</v>
      </c>
      <c r="I22" s="7">
        <v>10</v>
      </c>
      <c r="J22" s="13">
        <f>SUMIF('Stock In'!C:C, Table1[[#This Row],[Medicine ID]], 'Stock In'!E:E) * Table1[[#This Row],[Pcs per Box]]</f>
        <v>200</v>
      </c>
      <c r="K22" s="13">
        <f>SUMIF('Sales Log Table'!C:C, Table1[[#This Row],[Medicine ID]], 'Sales Log Table'!E:E)</f>
        <v>0</v>
      </c>
      <c r="L22" s="13">
        <f>Table1[[#This Row],[Total Received]] - Table1[[#This Row],[Total Sold]]</f>
        <v>200</v>
      </c>
      <c r="M22" s="10"/>
      <c r="N22" s="11"/>
      <c r="O22" s="12" t="str">
        <f>IF(Table1[[#This Row],[Current Stock]] &lt;= Table1[[#This Row],[Min Stock]], "REORDER NOW", "Good")</f>
        <v>Good</v>
      </c>
      <c r="P22" s="13">
        <f>(Table1[[#This Row],[Unit Price]] - Table1[[#This Row],[Cost Per Pc]]) * Table1[[#This Row],[Total Sold]]</f>
        <v>0</v>
      </c>
      <c r="R22" s="7">
        <f>(Table1[[#This Row],[Total Received]] / Table1[[#This Row],[Pcs per Box]]) * Table1[[#This Row],[Cost Price]]</f>
        <v>1760.2</v>
      </c>
      <c r="S22" s="31">
        <f>SUM($R$3:Table1[[#This Row],[Annual Consumption Value]]) / SUM(Table1[Annual Consumption Value])</f>
        <v>0.14999003227091304</v>
      </c>
      <c r="T22" s="29" t="str">
        <f>IF(Table1[[#This Row],[Cumulative %]]&lt;=0.8, "A", IF(Table1[[#This Row],[Cumulative %]]&lt;=0.95, "B", "C"))</f>
        <v>A</v>
      </c>
    </row>
    <row r="23" spans="1:20" x14ac:dyDescent="0.35">
      <c r="A23" s="7" t="s">
        <v>118</v>
      </c>
      <c r="B23" s="7" t="s">
        <v>73</v>
      </c>
      <c r="C23" s="7" t="s">
        <v>77</v>
      </c>
      <c r="D23" s="7" t="s">
        <v>57</v>
      </c>
      <c r="E23" s="7" t="s">
        <v>142</v>
      </c>
      <c r="F23" s="7">
        <f>(Table1[[#This Row],[Unit Price]] * 0.9) * Table1[[#This Row],[Pcs per Box]]</f>
        <v>374.40000000000003</v>
      </c>
      <c r="G23" s="7">
        <v>52</v>
      </c>
      <c r="H23" s="7">
        <f>Table1[[#This Row],[Cost Price]]/Table1[[#This Row],[Pcs per Box]]</f>
        <v>7.2000000000000011</v>
      </c>
      <c r="I23" s="7">
        <v>8</v>
      </c>
      <c r="J23" s="7">
        <f>SUMIF('Stock In'!C:C, Table1[[#This Row],[Medicine ID]], 'Stock In'!E:E) * Table1[[#This Row],[Pcs per Box]]</f>
        <v>52</v>
      </c>
      <c r="K23" s="7">
        <f>SUMIF('Sales Log Table'!C:C, Table1[[#This Row],[Medicine ID]], 'Sales Log Table'!E:E)</f>
        <v>0</v>
      </c>
      <c r="L23" s="7">
        <f>Table1[[#This Row],[Total Received]] - Table1[[#This Row],[Total Sold]]</f>
        <v>52</v>
      </c>
      <c r="M23" s="10">
        <v>20</v>
      </c>
      <c r="N23" s="11">
        <v>46563</v>
      </c>
      <c r="O23" s="12" t="str">
        <f>IF(Table1[[#This Row],[Current Stock]] &lt;= Table1[[#This Row],[Min Stock]], "REORDER NOW", "Good")</f>
        <v>Good</v>
      </c>
      <c r="P23" s="13">
        <f>(Table1[[#This Row],[Unit Price]] - Table1[[#This Row],[Cost Per Pc]]) * Table1[[#This Row],[Total Sold]]</f>
        <v>0</v>
      </c>
      <c r="R23" s="7">
        <f>(Table1[[#This Row],[Total Received]] / Table1[[#This Row],[Pcs per Box]]) * Table1[[#This Row],[Cost Price]]</f>
        <v>374.40000000000003</v>
      </c>
      <c r="S23" s="31">
        <f>SUM($R$3:Table1[[#This Row],[Annual Consumption Value]]) / SUM(Table1[Annual Consumption Value])</f>
        <v>0.15136484080660867</v>
      </c>
      <c r="T23" s="29" t="str">
        <f>IF(Table1[[#This Row],[Cumulative %]]&lt;=0.8, "A", IF(Table1[[#This Row],[Cumulative %]]&lt;=0.95, "B", "C"))</f>
        <v>A</v>
      </c>
    </row>
    <row r="24" spans="1:20" x14ac:dyDescent="0.35">
      <c r="A24" s="7" t="s">
        <v>119</v>
      </c>
      <c r="B24" s="7" t="s">
        <v>74</v>
      </c>
      <c r="C24" s="7" t="s">
        <v>77</v>
      </c>
      <c r="D24" s="7" t="s">
        <v>57</v>
      </c>
      <c r="E24" s="7" t="s">
        <v>142</v>
      </c>
      <c r="F24" s="7">
        <f>(Table1[[#This Row],[Unit Price]] * 0.9) * Table1[[#This Row],[Pcs per Box]]</f>
        <v>403.2</v>
      </c>
      <c r="G24" s="7">
        <v>32</v>
      </c>
      <c r="H24" s="7">
        <f>Table1[[#This Row],[Cost Price]]/Table1[[#This Row],[Pcs per Box]]</f>
        <v>12.6</v>
      </c>
      <c r="I24" s="7">
        <v>14</v>
      </c>
      <c r="J24" s="7">
        <f>SUMIF('Stock In'!C:C, Table1[[#This Row],[Medicine ID]], 'Stock In'!E:E) * Table1[[#This Row],[Pcs per Box]]</f>
        <v>128</v>
      </c>
      <c r="K24" s="7">
        <f>SUMIF('Sales Log Table'!C:C, Table1[[#This Row],[Medicine ID]], 'Sales Log Table'!E:E)</f>
        <v>0</v>
      </c>
      <c r="L24" s="7">
        <f>Table1[[#This Row],[Total Received]] - Table1[[#This Row],[Total Sold]]</f>
        <v>128</v>
      </c>
      <c r="M24" s="10">
        <v>80</v>
      </c>
      <c r="N24" s="11">
        <v>46563</v>
      </c>
      <c r="O24" s="12" t="str">
        <f>IF(Table1[[#This Row],[Current Stock]] &lt;= Table1[[#This Row],[Min Stock]], "REORDER NOW", "Good")</f>
        <v>Good</v>
      </c>
      <c r="P24" s="13">
        <f>(Table1[[#This Row],[Unit Price]] - Table1[[#This Row],[Cost Per Pc]]) * Table1[[#This Row],[Total Sold]]</f>
        <v>0</v>
      </c>
      <c r="R24" s="7">
        <f>(Table1[[#This Row],[Total Received]] / Table1[[#This Row],[Pcs per Box]]) * Table1[[#This Row],[Cost Price]]</f>
        <v>1612.8</v>
      </c>
      <c r="S24" s="31">
        <f>SUM($R$3:Table1[[#This Row],[Annual Consumption Value]]) / SUM(Table1[Annual Consumption Value])</f>
        <v>0.15728709296037438</v>
      </c>
      <c r="T24" s="29" t="str">
        <f>IF(Table1[[#This Row],[Cumulative %]]&lt;=0.8, "A", IF(Table1[[#This Row],[Cumulative %]]&lt;=0.95, "B", "C"))</f>
        <v>A</v>
      </c>
    </row>
    <row r="25" spans="1:20" x14ac:dyDescent="0.35">
      <c r="A25" s="7" t="s">
        <v>120</v>
      </c>
      <c r="B25" s="7" t="s">
        <v>75</v>
      </c>
      <c r="C25" s="7" t="s">
        <v>77</v>
      </c>
      <c r="D25" s="7" t="s">
        <v>57</v>
      </c>
      <c r="E25" s="7" t="s">
        <v>142</v>
      </c>
      <c r="F25" s="7">
        <f>(Table1[[#This Row],[Unit Price]] * 0.9) * Table1[[#This Row],[Pcs per Box]]</f>
        <v>519.29999999999995</v>
      </c>
      <c r="G25" s="7">
        <v>100</v>
      </c>
      <c r="H25" s="7">
        <f>Table1[[#This Row],[Cost Price]]/Table1[[#This Row],[Pcs per Box]]</f>
        <v>5.1929999999999996</v>
      </c>
      <c r="I25" s="7">
        <v>5.77</v>
      </c>
      <c r="J25" s="7">
        <f>SUMIF('Stock In'!C:C, Table1[[#This Row],[Medicine ID]], 'Stock In'!E:E) * Table1[[#This Row],[Pcs per Box]]</f>
        <v>500</v>
      </c>
      <c r="K25" s="7">
        <f>SUMIF('Sales Log Table'!C:C, Table1[[#This Row],[Medicine ID]], 'Sales Log Table'!E:E)</f>
        <v>0</v>
      </c>
      <c r="L25" s="7">
        <f>Table1[[#This Row],[Total Received]] - Table1[[#This Row],[Total Sold]]</f>
        <v>500</v>
      </c>
      <c r="M25" s="10">
        <v>30</v>
      </c>
      <c r="N25" s="11">
        <v>46563</v>
      </c>
      <c r="O25" s="12" t="str">
        <f>IF(Table1[[#This Row],[Current Stock]] &lt;= Table1[[#This Row],[Min Stock]], "REORDER NOW", "Good")</f>
        <v>Good</v>
      </c>
      <c r="P25" s="13">
        <f>(Table1[[#This Row],[Unit Price]] - Table1[[#This Row],[Cost Per Pc]]) * Table1[[#This Row],[Total Sold]]</f>
        <v>0</v>
      </c>
      <c r="R25" s="7">
        <f>(Table1[[#This Row],[Total Received]] / Table1[[#This Row],[Pcs per Box]]) * Table1[[#This Row],[Cost Price]]</f>
        <v>2596.5</v>
      </c>
      <c r="S25" s="31">
        <f>SUM($R$3:Table1[[#This Row],[Annual Consumption Value]]) / SUM(Table1[Annual Consumption Value])</f>
        <v>0.16682152234855191</v>
      </c>
      <c r="T25" s="29" t="str">
        <f>IF(Table1[[#This Row],[Cumulative %]]&lt;=0.8, "A", IF(Table1[[#This Row],[Cumulative %]]&lt;=0.95, "B", "C"))</f>
        <v>A</v>
      </c>
    </row>
    <row r="26" spans="1:20" x14ac:dyDescent="0.35">
      <c r="A26" s="7" t="s">
        <v>121</v>
      </c>
      <c r="B26" s="7" t="s">
        <v>76</v>
      </c>
      <c r="C26" s="7" t="s">
        <v>77</v>
      </c>
      <c r="D26" s="7" t="s">
        <v>57</v>
      </c>
      <c r="E26" s="7" t="s">
        <v>142</v>
      </c>
      <c r="F26" s="7">
        <f>(Table1[[#This Row],[Unit Price]] * 0.9) * Table1[[#This Row],[Pcs per Box]]</f>
        <v>378.00000000000006</v>
      </c>
      <c r="G26" s="7">
        <v>40</v>
      </c>
      <c r="H26" s="7">
        <f>Table1[[#This Row],[Cost Price]]/Table1[[#This Row],[Pcs per Box]]</f>
        <v>9.4500000000000011</v>
      </c>
      <c r="I26" s="7">
        <v>10.5</v>
      </c>
      <c r="J26" s="7">
        <f>SUMIF('Stock In'!C:C, Table1[[#This Row],[Medicine ID]], 'Stock In'!E:E) * Table1[[#This Row],[Pcs per Box]]</f>
        <v>200</v>
      </c>
      <c r="K26" s="7">
        <f>SUMIF('Sales Log Table'!C:C, Table1[[#This Row],[Medicine ID]], 'Sales Log Table'!E:E)</f>
        <v>0</v>
      </c>
      <c r="L26" s="7">
        <f>Table1[[#This Row],[Total Received]] - Table1[[#This Row],[Total Sold]]</f>
        <v>200</v>
      </c>
      <c r="M26" s="10">
        <v>80</v>
      </c>
      <c r="N26" s="11">
        <v>46563</v>
      </c>
      <c r="O26" s="12" t="str">
        <f>IF(Table1[[#This Row],[Current Stock]] &lt;= Table1[[#This Row],[Min Stock]], "REORDER NOW", "Good")</f>
        <v>Good</v>
      </c>
      <c r="P26" s="13">
        <f>(Table1[[#This Row],[Unit Price]] - Table1[[#This Row],[Cost Per Pc]]) * Table1[[#This Row],[Total Sold]]</f>
        <v>0</v>
      </c>
      <c r="R26" s="7">
        <f>(Table1[[#This Row],[Total Received]] / Table1[[#This Row],[Pcs per Box]]) * Table1[[#This Row],[Cost Price]]</f>
        <v>1890.0000000000002</v>
      </c>
      <c r="S26" s="31">
        <f>SUM($R$3:Table1[[#This Row],[Annual Consumption Value]]) / SUM(Table1[Annual Consumption Value])</f>
        <v>0.17376166159124612</v>
      </c>
      <c r="T26" s="29" t="str">
        <f>IF(Table1[[#This Row],[Cumulative %]]&lt;=0.8, "A", IF(Table1[[#This Row],[Cumulative %]]&lt;=0.95, "B", "C"))</f>
        <v>A</v>
      </c>
    </row>
    <row r="27" spans="1:20" x14ac:dyDescent="0.35">
      <c r="A27" s="7" t="s">
        <v>122</v>
      </c>
      <c r="B27" s="7" t="s">
        <v>78</v>
      </c>
      <c r="C27" s="7" t="s">
        <v>85</v>
      </c>
      <c r="D27" s="7" t="s">
        <v>56</v>
      </c>
      <c r="E27" s="7" t="s">
        <v>142</v>
      </c>
      <c r="F27" s="7">
        <f>(Table1[[#This Row],[Unit Price]] * 0.9) * Table1[[#This Row],[Pcs per Box]]</f>
        <v>648</v>
      </c>
      <c r="G27" s="7">
        <v>18</v>
      </c>
      <c r="H27" s="7">
        <f>Table1[[#This Row],[Cost Price]]/Table1[[#This Row],[Pcs per Box]]</f>
        <v>36</v>
      </c>
      <c r="I27" s="7">
        <v>40</v>
      </c>
      <c r="J27" s="7">
        <f>SUMIF('Stock In'!C:C, Table1[[#This Row],[Medicine ID]], 'Stock In'!E:E) * Table1[[#This Row],[Pcs per Box]]</f>
        <v>144</v>
      </c>
      <c r="K27" s="7">
        <f>SUMIF('Sales Log Table'!C:C, Table1[[#This Row],[Medicine ID]], 'Sales Log Table'!E:E)</f>
        <v>3</v>
      </c>
      <c r="L27" s="7">
        <f>Table1[[#This Row],[Total Received]] - Table1[[#This Row],[Total Sold]]</f>
        <v>141</v>
      </c>
      <c r="M27" s="10">
        <v>40</v>
      </c>
      <c r="N27" s="11">
        <v>46563</v>
      </c>
      <c r="O27" s="12" t="str">
        <f>IF(Table1[[#This Row],[Current Stock]] &lt;= Table1[[#This Row],[Min Stock]], "REORDER NOW", "Good")</f>
        <v>Good</v>
      </c>
      <c r="P27" s="13">
        <f>(Table1[[#This Row],[Unit Price]] - Table1[[#This Row],[Cost Per Pc]]) * Table1[[#This Row],[Total Sold]]</f>
        <v>12</v>
      </c>
      <c r="R27" s="7">
        <f>(Table1[[#This Row],[Total Received]] / Table1[[#This Row],[Pcs per Box]]) * Table1[[#This Row],[Cost Price]]</f>
        <v>5184</v>
      </c>
      <c r="S27" s="31">
        <f>SUM($R$3:Table1[[#This Row],[Annual Consumption Value]]) / SUM(Table1[Annual Consumption Value])</f>
        <v>0.19279747208549308</v>
      </c>
      <c r="T27" s="29" t="str">
        <f>IF(Table1[[#This Row],[Cumulative %]]&lt;=0.8, "A", IF(Table1[[#This Row],[Cumulative %]]&lt;=0.95, "B", "C"))</f>
        <v>A</v>
      </c>
    </row>
    <row r="28" spans="1:20" x14ac:dyDescent="0.35">
      <c r="A28" s="7" t="s">
        <v>123</v>
      </c>
      <c r="B28" s="7" t="s">
        <v>79</v>
      </c>
      <c r="C28" s="7" t="s">
        <v>85</v>
      </c>
      <c r="D28" s="7" t="s">
        <v>56</v>
      </c>
      <c r="E28" s="7" t="s">
        <v>142</v>
      </c>
      <c r="F28" s="7">
        <f>(Table1[[#This Row],[Unit Price]] * 0.9) * Table1[[#This Row],[Pcs per Box]]</f>
        <v>594</v>
      </c>
      <c r="G28" s="7">
        <v>12</v>
      </c>
      <c r="H28" s="7">
        <f>Table1[[#This Row],[Cost Price]]/Table1[[#This Row],[Pcs per Box]]</f>
        <v>49.5</v>
      </c>
      <c r="I28" s="7">
        <v>55</v>
      </c>
      <c r="J28" s="7">
        <f>SUMIF('Stock In'!C:C, Table1[[#This Row],[Medicine ID]], 'Stock In'!E:E) * Table1[[#This Row],[Pcs per Box]]</f>
        <v>72</v>
      </c>
      <c r="K28" s="7">
        <f>SUMIF('Sales Log Table'!C:C, Table1[[#This Row],[Medicine ID]], 'Sales Log Table'!E:E)</f>
        <v>0</v>
      </c>
      <c r="L28" s="7">
        <f>Table1[[#This Row],[Total Received]] - Table1[[#This Row],[Total Sold]]</f>
        <v>72</v>
      </c>
      <c r="M28" s="10">
        <v>50</v>
      </c>
      <c r="N28" s="11">
        <v>46563</v>
      </c>
      <c r="O28" s="12" t="str">
        <f>IF(Table1[[#This Row],[Current Stock]] &lt;= Table1[[#This Row],[Min Stock]], "REORDER NOW", "Good")</f>
        <v>Good</v>
      </c>
      <c r="P28" s="13">
        <f>(Table1[[#This Row],[Unit Price]] - Table1[[#This Row],[Cost Per Pc]]) * Table1[[#This Row],[Total Sold]]</f>
        <v>0</v>
      </c>
      <c r="R28" s="7">
        <f>(Table1[[#This Row],[Total Received]] / Table1[[#This Row],[Pcs per Box]]) * Table1[[#This Row],[Cost Price]]</f>
        <v>3564</v>
      </c>
      <c r="S28" s="31">
        <f>SUM($R$3:Table1[[#This Row],[Annual Consumption Value]]) / SUM(Table1[Annual Consumption Value])</f>
        <v>0.2058845918002879</v>
      </c>
      <c r="T28" s="29" t="str">
        <f>IF(Table1[[#This Row],[Cumulative %]]&lt;=0.8, "A", IF(Table1[[#This Row],[Cumulative %]]&lt;=0.95, "B", "C"))</f>
        <v>A</v>
      </c>
    </row>
    <row r="29" spans="1:20" x14ac:dyDescent="0.35">
      <c r="A29" s="7" t="s">
        <v>124</v>
      </c>
      <c r="B29" s="7" t="s">
        <v>80</v>
      </c>
      <c r="C29" s="7" t="s">
        <v>85</v>
      </c>
      <c r="D29" s="7" t="s">
        <v>56</v>
      </c>
      <c r="E29" s="7" t="s">
        <v>142</v>
      </c>
      <c r="F29" s="7">
        <v>422.43</v>
      </c>
      <c r="G29" s="7">
        <v>12</v>
      </c>
      <c r="H29" s="7">
        <f>Table1[[#This Row],[Cost Price]]/Table1[[#This Row],[Pcs per Box]]</f>
        <v>35.202500000000001</v>
      </c>
      <c r="I29" s="7">
        <v>40</v>
      </c>
      <c r="J29" s="7">
        <f>SUMIF('Stock In'!C:C, Table1[[#This Row],[Medicine ID]], 'Stock In'!E:E) * Table1[[#This Row],[Pcs per Box]]</f>
        <v>96</v>
      </c>
      <c r="K29" s="7">
        <f>SUMIF('Sales Log Table'!C:C, Table1[[#This Row],[Medicine ID]], 'Sales Log Table'!E:E)</f>
        <v>0</v>
      </c>
      <c r="L29" s="7">
        <f>Table1[[#This Row],[Total Received]] - Table1[[#This Row],[Total Sold]]</f>
        <v>96</v>
      </c>
      <c r="M29" s="10">
        <v>30</v>
      </c>
      <c r="N29" s="11">
        <v>46563</v>
      </c>
      <c r="O29" s="12" t="str">
        <f>IF(Table1[[#This Row],[Current Stock]] &lt;= Table1[[#This Row],[Min Stock]], "REORDER NOW", "Good")</f>
        <v>Good</v>
      </c>
      <c r="P29" s="13">
        <f>(Table1[[#This Row],[Unit Price]] - Table1[[#This Row],[Cost Per Pc]]) * Table1[[#This Row],[Total Sold]]</f>
        <v>0</v>
      </c>
      <c r="R29" s="7">
        <f>(Table1[[#This Row],[Total Received]] / Table1[[#This Row],[Pcs per Box]]) * Table1[[#This Row],[Cost Price]]</f>
        <v>3379.44</v>
      </c>
      <c r="S29" s="31">
        <f>SUM($R$3:Table1[[#This Row],[Annual Consumption Value]]) / SUM(Table1[Annual Consumption Value])</f>
        <v>0.21829400140998659</v>
      </c>
      <c r="T29" s="29" t="str">
        <f>IF(Table1[[#This Row],[Cumulative %]]&lt;=0.8, "A", IF(Table1[[#This Row],[Cumulative %]]&lt;=0.95, "B", "C"))</f>
        <v>A</v>
      </c>
    </row>
    <row r="30" spans="1:20" x14ac:dyDescent="0.35">
      <c r="A30" s="7" t="s">
        <v>125</v>
      </c>
      <c r="B30" s="7" t="s">
        <v>81</v>
      </c>
      <c r="C30" s="7" t="s">
        <v>85</v>
      </c>
      <c r="D30" s="7" t="s">
        <v>56</v>
      </c>
      <c r="E30" s="7" t="s">
        <v>142</v>
      </c>
      <c r="F30" s="7">
        <f>(Table1[[#This Row],[Unit Price]] * 0.9) * Table1[[#This Row],[Pcs per Box]]</f>
        <v>486</v>
      </c>
      <c r="G30" s="7">
        <v>12</v>
      </c>
      <c r="H30" s="7">
        <f>Table1[[#This Row],[Cost Price]]/Table1[[#This Row],[Pcs per Box]]</f>
        <v>40.5</v>
      </c>
      <c r="I30" s="7">
        <v>45</v>
      </c>
      <c r="J30" s="7">
        <f>SUMIF('Stock In'!C:C, Table1[[#This Row],[Medicine ID]], 'Stock In'!E:E) * Table1[[#This Row],[Pcs per Box]]</f>
        <v>120</v>
      </c>
      <c r="K30" s="7">
        <f>SUMIF('Sales Log Table'!C:C, Table1[[#This Row],[Medicine ID]], 'Sales Log Table'!E:E)</f>
        <v>0</v>
      </c>
      <c r="L30" s="7">
        <f>Table1[[#This Row],[Total Received]] - Table1[[#This Row],[Total Sold]]</f>
        <v>120</v>
      </c>
      <c r="M30" s="10">
        <v>45</v>
      </c>
      <c r="N30" s="11">
        <v>46563</v>
      </c>
      <c r="O30" s="12" t="str">
        <f>IF(Table1[[#This Row],[Current Stock]] &lt;= Table1[[#This Row],[Min Stock]], "REORDER NOW", "Good")</f>
        <v>Good</v>
      </c>
      <c r="P30" s="13">
        <f>(Table1[[#This Row],[Unit Price]] - Table1[[#This Row],[Cost Per Pc]]) * Table1[[#This Row],[Total Sold]]</f>
        <v>0</v>
      </c>
      <c r="R30" s="7">
        <f>(Table1[[#This Row],[Total Received]] / Table1[[#This Row],[Pcs per Box]]) * Table1[[#This Row],[Cost Price]]</f>
        <v>4860</v>
      </c>
      <c r="S30" s="31">
        <f>SUM($R$3:Table1[[#This Row],[Annual Consumption Value]]) / SUM(Table1[Annual Consumption Value])</f>
        <v>0.23614007374834312</v>
      </c>
      <c r="T30" s="29" t="str">
        <f>IF(Table1[[#This Row],[Cumulative %]]&lt;=0.8, "A", IF(Table1[[#This Row],[Cumulative %]]&lt;=0.95, "B", "C"))</f>
        <v>A</v>
      </c>
    </row>
    <row r="31" spans="1:20" x14ac:dyDescent="0.35">
      <c r="A31" s="7" t="s">
        <v>126</v>
      </c>
      <c r="B31" s="7" t="s">
        <v>82</v>
      </c>
      <c r="C31" s="7" t="s">
        <v>84</v>
      </c>
      <c r="D31" s="7" t="s">
        <v>57</v>
      </c>
      <c r="E31" s="7" t="s">
        <v>142</v>
      </c>
      <c r="F31" s="7">
        <f>(Table1[[#This Row],[Unit Price]] * 0.9) * Table1[[#This Row],[Pcs per Box]]</f>
        <v>576</v>
      </c>
      <c r="G31" s="7">
        <v>16</v>
      </c>
      <c r="H31" s="7">
        <f>Table1[[#This Row],[Cost Price]]/Table1[[#This Row],[Pcs per Box]]</f>
        <v>36</v>
      </c>
      <c r="I31" s="7">
        <v>40</v>
      </c>
      <c r="J31" s="7">
        <f>SUMIF('Stock In'!C:C, Table1[[#This Row],[Medicine ID]], 'Stock In'!E:E) * Table1[[#This Row],[Pcs per Box]]</f>
        <v>48</v>
      </c>
      <c r="K31" s="7">
        <f>SUMIF('Sales Log Table'!C:C, Table1[[#This Row],[Medicine ID]], 'Sales Log Table'!E:E)</f>
        <v>0</v>
      </c>
      <c r="L31" s="7">
        <f>Table1[[#This Row],[Total Received]] - Table1[[#This Row],[Total Sold]]</f>
        <v>48</v>
      </c>
      <c r="M31" s="10">
        <v>16</v>
      </c>
      <c r="N31" s="11">
        <v>46563</v>
      </c>
      <c r="O31" s="12" t="str">
        <f>IF(Table1[[#This Row],[Current Stock]] &lt;= Table1[[#This Row],[Min Stock]], "REORDER NOW", "Good")</f>
        <v>Good</v>
      </c>
      <c r="P31" s="13">
        <f>(Table1[[#This Row],[Unit Price]] - Table1[[#This Row],[Cost Per Pc]]) * Table1[[#This Row],[Total Sold]]</f>
        <v>0</v>
      </c>
      <c r="R31" s="7">
        <f>(Table1[[#This Row],[Total Received]] / Table1[[#This Row],[Pcs per Box]]) * Table1[[#This Row],[Cost Price]]</f>
        <v>1728</v>
      </c>
      <c r="S31" s="31">
        <f>SUM($R$3:Table1[[#This Row],[Annual Consumption Value]]) / SUM(Table1[Annual Consumption Value])</f>
        <v>0.24248534391309212</v>
      </c>
      <c r="T31" s="29" t="str">
        <f>IF(Table1[[#This Row],[Cumulative %]]&lt;=0.8, "A", IF(Table1[[#This Row],[Cumulative %]]&lt;=0.95, "B", "C"))</f>
        <v>A</v>
      </c>
    </row>
    <row r="32" spans="1:20" x14ac:dyDescent="0.35">
      <c r="A32" s="7" t="s">
        <v>127</v>
      </c>
      <c r="B32" s="7" t="s">
        <v>83</v>
      </c>
      <c r="C32" s="7" t="s">
        <v>84</v>
      </c>
      <c r="D32" s="7" t="s">
        <v>57</v>
      </c>
      <c r="E32" s="7" t="s">
        <v>142</v>
      </c>
      <c r="F32" s="7">
        <f>(Table1[[#This Row],[Unit Price]] * 0.9) * Table1[[#This Row],[Pcs per Box]]</f>
        <v>495</v>
      </c>
      <c r="G32" s="7">
        <v>10</v>
      </c>
      <c r="H32" s="7">
        <f>Table1[[#This Row],[Cost Price]]/Table1[[#This Row],[Pcs per Box]]</f>
        <v>49.5</v>
      </c>
      <c r="I32" s="7">
        <v>55</v>
      </c>
      <c r="J32" s="7">
        <f>SUMIF('Stock In'!C:C, Table1[[#This Row],[Medicine ID]], 'Stock In'!E:E) * Table1[[#This Row],[Pcs per Box]]</f>
        <v>170</v>
      </c>
      <c r="K32" s="7">
        <f>SUMIF('Sales Log Table'!C:C, Table1[[#This Row],[Medicine ID]], 'Sales Log Table'!E:E)</f>
        <v>0</v>
      </c>
      <c r="L32" s="7">
        <f>Table1[[#This Row],[Total Received]] - Table1[[#This Row],[Total Sold]]</f>
        <v>170</v>
      </c>
      <c r="M32" s="10">
        <v>20</v>
      </c>
      <c r="N32" s="11">
        <v>46563</v>
      </c>
      <c r="O32" s="12" t="str">
        <f>IF(Table1[[#This Row],[Current Stock]] &lt;= Table1[[#This Row],[Min Stock]], "REORDER NOW", "Good")</f>
        <v>Good</v>
      </c>
      <c r="P32" s="13">
        <f>(Table1[[#This Row],[Unit Price]] - Table1[[#This Row],[Cost Per Pc]]) * Table1[[#This Row],[Total Sold]]</f>
        <v>0</v>
      </c>
      <c r="R32" s="7">
        <f>(Table1[[#This Row],[Total Received]] / Table1[[#This Row],[Pcs per Box]]) * Table1[[#This Row],[Cost Price]]</f>
        <v>8415</v>
      </c>
      <c r="S32" s="31">
        <f>SUM($R$3:Table1[[#This Row],[Annual Consumption Value]]) / SUM(Table1[Annual Consumption Value])</f>
        <v>0.2733854876841354</v>
      </c>
      <c r="T32" s="29" t="str">
        <f>IF(Table1[[#This Row],[Cumulative %]]&lt;=0.8, "A", IF(Table1[[#This Row],[Cumulative %]]&lt;=0.95, "B", "C"))</f>
        <v>A</v>
      </c>
    </row>
    <row r="33" spans="1:20" x14ac:dyDescent="0.35">
      <c r="A33" s="7" t="s">
        <v>128</v>
      </c>
      <c r="B33" s="7" t="s">
        <v>86</v>
      </c>
      <c r="C33" s="7" t="s">
        <v>84</v>
      </c>
      <c r="D33" s="7" t="s">
        <v>57</v>
      </c>
      <c r="E33" s="7" t="s">
        <v>142</v>
      </c>
      <c r="F33" s="7">
        <f>(Table1[[#This Row],[Unit Price]] * 0.9) * Table1[[#This Row],[Pcs per Box]]</f>
        <v>567</v>
      </c>
      <c r="G33" s="7">
        <v>14</v>
      </c>
      <c r="H33" s="7">
        <f>Table1[[#This Row],[Cost Price]]/Table1[[#This Row],[Pcs per Box]]</f>
        <v>40.5</v>
      </c>
      <c r="I33" s="7">
        <v>45</v>
      </c>
      <c r="J33" s="7">
        <f>SUMIF('Stock In'!C:C, Table1[[#This Row],[Medicine ID]], 'Stock In'!E:E) * Table1[[#This Row],[Pcs per Box]]</f>
        <v>42</v>
      </c>
      <c r="K33" s="7">
        <f>SUMIF('Sales Log Table'!C:C, Table1[[#This Row],[Medicine ID]], 'Sales Log Table'!E:E)</f>
        <v>0</v>
      </c>
      <c r="L33" s="7">
        <f>Table1[[#This Row],[Total Received]] - Table1[[#This Row],[Total Sold]]</f>
        <v>42</v>
      </c>
      <c r="M33" s="10">
        <v>30</v>
      </c>
      <c r="N33" s="11">
        <v>46563</v>
      </c>
      <c r="O33" s="12" t="str">
        <f>IF(Table1[[#This Row],[Current Stock]] &lt;= Table1[[#This Row],[Min Stock]], "REORDER NOW", "Good")</f>
        <v>Good</v>
      </c>
      <c r="P33" s="13">
        <f>(Table1[[#This Row],[Unit Price]] - Table1[[#This Row],[Cost Per Pc]]) * Table1[[#This Row],[Total Sold]]</f>
        <v>0</v>
      </c>
      <c r="R33" s="7">
        <f>(Table1[[#This Row],[Total Received]] / Table1[[#This Row],[Pcs per Box]]) * Table1[[#This Row],[Cost Price]]</f>
        <v>1701</v>
      </c>
      <c r="S33" s="31">
        <f>SUM($R$3:Table1[[#This Row],[Annual Consumption Value]]) / SUM(Table1[Annual Consumption Value])</f>
        <v>0.27963161300256018</v>
      </c>
      <c r="T33" s="29" t="str">
        <f>IF(Table1[[#This Row],[Cumulative %]]&lt;=0.8, "A", IF(Table1[[#This Row],[Cumulative %]]&lt;=0.95, "B", "C"))</f>
        <v>A</v>
      </c>
    </row>
    <row r="34" spans="1:20" x14ac:dyDescent="0.35">
      <c r="A34" s="7" t="s">
        <v>129</v>
      </c>
      <c r="B34" s="7" t="s">
        <v>87</v>
      </c>
      <c r="C34" s="7" t="s">
        <v>84</v>
      </c>
      <c r="D34" s="7" t="s">
        <v>57</v>
      </c>
      <c r="E34" s="7" t="s">
        <v>142</v>
      </c>
      <c r="F34" s="7">
        <f>(Table1[[#This Row],[Unit Price]] * 0.9) * Table1[[#This Row],[Pcs per Box]]</f>
        <v>756</v>
      </c>
      <c r="G34" s="7">
        <v>14</v>
      </c>
      <c r="H34" s="7">
        <f>Table1[[#This Row],[Cost Price]]/Table1[[#This Row],[Pcs per Box]]</f>
        <v>54</v>
      </c>
      <c r="I34" s="7">
        <v>60</v>
      </c>
      <c r="J34" s="7">
        <f>SUMIF('Stock In'!C:C, Table1[[#This Row],[Medicine ID]], 'Stock In'!E:E) * Table1[[#This Row],[Pcs per Box]]</f>
        <v>70</v>
      </c>
      <c r="K34" s="7">
        <f>SUMIF('Sales Log Table'!C:C, Table1[[#This Row],[Medicine ID]], 'Sales Log Table'!E:E)</f>
        <v>0</v>
      </c>
      <c r="L34" s="7">
        <f>Table1[[#This Row],[Total Received]] - Table1[[#This Row],[Total Sold]]</f>
        <v>70</v>
      </c>
      <c r="M34" s="10">
        <v>46</v>
      </c>
      <c r="N34" s="11">
        <v>46563</v>
      </c>
      <c r="O34" s="12" t="str">
        <f>IF(Table1[[#This Row],[Current Stock]] &lt;= Table1[[#This Row],[Min Stock]], "REORDER NOW", "Good")</f>
        <v>Good</v>
      </c>
      <c r="P34" s="13">
        <f>(Table1[[#This Row],[Unit Price]] - Table1[[#This Row],[Cost Per Pc]]) * Table1[[#This Row],[Total Sold]]</f>
        <v>0</v>
      </c>
      <c r="R34" s="7">
        <f>(Table1[[#This Row],[Total Received]] / Table1[[#This Row],[Pcs per Box]]) * Table1[[#This Row],[Cost Price]]</f>
        <v>3780</v>
      </c>
      <c r="S34" s="31">
        <f>SUM($R$3:Table1[[#This Row],[Annual Consumption Value]]) / SUM(Table1[Annual Consumption Value])</f>
        <v>0.2935118914879486</v>
      </c>
      <c r="T34" s="29" t="str">
        <f>IF(Table1[[#This Row],[Cumulative %]]&lt;=0.8, "A", IF(Table1[[#This Row],[Cumulative %]]&lt;=0.95, "B", "C"))</f>
        <v>A</v>
      </c>
    </row>
    <row r="35" spans="1:20" x14ac:dyDescent="0.35">
      <c r="A35" s="7" t="s">
        <v>130</v>
      </c>
      <c r="B35" s="7" t="s">
        <v>88</v>
      </c>
      <c r="C35" s="7" t="s">
        <v>84</v>
      </c>
      <c r="D35" s="7" t="s">
        <v>57</v>
      </c>
      <c r="E35" s="7" t="s">
        <v>142</v>
      </c>
      <c r="F35" s="7">
        <f>(Table1[[#This Row],[Unit Price]] * 0.9) * Table1[[#This Row],[Pcs per Box]]</f>
        <v>428.40000000000003</v>
      </c>
      <c r="G35" s="7">
        <v>14</v>
      </c>
      <c r="H35" s="7">
        <f>Table1[[#This Row],[Cost Price]]/Table1[[#This Row],[Pcs per Box]]</f>
        <v>30.6</v>
      </c>
      <c r="I35" s="7">
        <v>34</v>
      </c>
      <c r="J35" s="7">
        <f>SUMIF('Stock In'!C:C, Table1[[#This Row],[Medicine ID]], 'Stock In'!E:E) * Table1[[#This Row],[Pcs per Box]]</f>
        <v>84</v>
      </c>
      <c r="K35" s="7">
        <f>SUMIF('Sales Log Table'!C:C, Table1[[#This Row],[Medicine ID]], 'Sales Log Table'!E:E)</f>
        <v>0</v>
      </c>
      <c r="L35" s="7">
        <f>Table1[[#This Row],[Total Received]] - Table1[[#This Row],[Total Sold]]</f>
        <v>84</v>
      </c>
      <c r="M35" s="10">
        <v>76</v>
      </c>
      <c r="N35" s="11">
        <v>46563</v>
      </c>
      <c r="O35" s="12" t="str">
        <f>IF(Table1[[#This Row],[Current Stock]] &lt;= Table1[[#This Row],[Min Stock]], "REORDER NOW", "Good")</f>
        <v>Good</v>
      </c>
      <c r="P35" s="13">
        <f>(Table1[[#This Row],[Unit Price]] - Table1[[#This Row],[Cost Per Pc]]) * Table1[[#This Row],[Total Sold]]</f>
        <v>0</v>
      </c>
      <c r="R35" s="7">
        <f>(Table1[[#This Row],[Total Received]] / Table1[[#This Row],[Pcs per Box]]) * Table1[[#This Row],[Cost Price]]</f>
        <v>2570.4</v>
      </c>
      <c r="S35" s="31">
        <f>SUM($R$3:Table1[[#This Row],[Annual Consumption Value]]) / SUM(Table1[Annual Consumption Value])</f>
        <v>0.30295048085801268</v>
      </c>
      <c r="T35" s="29" t="str">
        <f>IF(Table1[[#This Row],[Cumulative %]]&lt;=0.8, "A", IF(Table1[[#This Row],[Cumulative %]]&lt;=0.95, "B", "C"))</f>
        <v>A</v>
      </c>
    </row>
    <row r="36" spans="1:20" x14ac:dyDescent="0.35">
      <c r="A36" s="7" t="s">
        <v>131</v>
      </c>
      <c r="B36" s="7" t="s">
        <v>89</v>
      </c>
      <c r="C36" s="7" t="s">
        <v>84</v>
      </c>
      <c r="D36" s="7" t="s">
        <v>57</v>
      </c>
      <c r="E36" s="7" t="s">
        <v>142</v>
      </c>
      <c r="F36" s="7">
        <f>(Table1[[#This Row],[Unit Price]] * 0.9) * Table1[[#This Row],[Pcs per Box]]</f>
        <v>756</v>
      </c>
      <c r="G36" s="7">
        <v>14</v>
      </c>
      <c r="H36" s="7">
        <f>Table1[[#This Row],[Cost Price]]/Table1[[#This Row],[Pcs per Box]]</f>
        <v>54</v>
      </c>
      <c r="I36" s="7">
        <v>60</v>
      </c>
      <c r="J36" s="7">
        <f>SUMIF('Stock In'!C:C, Table1[[#This Row],[Medicine ID]], 'Stock In'!E:E) * Table1[[#This Row],[Pcs per Box]]</f>
        <v>84</v>
      </c>
      <c r="K36" s="7">
        <f>SUMIF('Sales Log Table'!C:C, Table1[[#This Row],[Medicine ID]], 'Sales Log Table'!E:E)</f>
        <v>0</v>
      </c>
      <c r="L36" s="7">
        <f>Table1[[#This Row],[Total Received]] - Table1[[#This Row],[Total Sold]]</f>
        <v>84</v>
      </c>
      <c r="M36" s="10">
        <v>65</v>
      </c>
      <c r="N36" s="11">
        <v>46563</v>
      </c>
      <c r="O36" s="12" t="str">
        <f>IF(Table1[[#This Row],[Current Stock]] &lt;= Table1[[#This Row],[Min Stock]], "REORDER NOW", "Good")</f>
        <v>Good</v>
      </c>
      <c r="P36" s="13">
        <f>(Table1[[#This Row],[Unit Price]] - Table1[[#This Row],[Cost Per Pc]]) * Table1[[#This Row],[Total Sold]]</f>
        <v>0</v>
      </c>
      <c r="R36" s="7">
        <f>(Table1[[#This Row],[Total Received]] / Table1[[#This Row],[Pcs per Box]]) * Table1[[#This Row],[Cost Price]]</f>
        <v>4536</v>
      </c>
      <c r="S36" s="31">
        <f>SUM($R$3:Table1[[#This Row],[Annual Consumption Value]]) / SUM(Table1[Annual Consumption Value])</f>
        <v>0.31960681504047878</v>
      </c>
      <c r="T36" s="29" t="str">
        <f>IF(Table1[[#This Row],[Cumulative %]]&lt;=0.8, "A", IF(Table1[[#This Row],[Cumulative %]]&lt;=0.95, "B", "C"))</f>
        <v>A</v>
      </c>
    </row>
    <row r="37" spans="1:20" x14ac:dyDescent="0.35">
      <c r="A37" s="7" t="s">
        <v>132</v>
      </c>
      <c r="B37" s="7" t="s">
        <v>90</v>
      </c>
      <c r="C37" s="7" t="s">
        <v>84</v>
      </c>
      <c r="D37" s="7" t="s">
        <v>57</v>
      </c>
      <c r="E37" s="7" t="s">
        <v>142</v>
      </c>
      <c r="F37" s="7">
        <f>(Table1[[#This Row],[Unit Price]] * 0.9) * Table1[[#This Row],[Pcs per Box]]</f>
        <v>864</v>
      </c>
      <c r="G37" s="7">
        <v>24</v>
      </c>
      <c r="H37" s="7">
        <f>Table1[[#This Row],[Cost Price]]/Table1[[#This Row],[Pcs per Box]]</f>
        <v>36</v>
      </c>
      <c r="I37" s="7">
        <v>40</v>
      </c>
      <c r="J37" s="7">
        <f>SUMIF('Stock In'!C:C, Table1[[#This Row],[Medicine ID]], 'Stock In'!E:E) * Table1[[#This Row],[Pcs per Box]]</f>
        <v>72</v>
      </c>
      <c r="K37" s="7">
        <f>SUMIF('Sales Log Table'!C:C, Table1[[#This Row],[Medicine ID]], 'Sales Log Table'!E:E)</f>
        <v>0</v>
      </c>
      <c r="L37" s="7">
        <f>Table1[[#This Row],[Total Received]] - Table1[[#This Row],[Total Sold]]</f>
        <v>72</v>
      </c>
      <c r="M37" s="10">
        <v>47</v>
      </c>
      <c r="N37" s="11">
        <v>46563</v>
      </c>
      <c r="O37" s="12" t="str">
        <f>IF(Table1[[#This Row],[Current Stock]] &lt;= Table1[[#This Row],[Min Stock]], "REORDER NOW", "Good")</f>
        <v>Good</v>
      </c>
      <c r="P37" s="13">
        <f>(Table1[[#This Row],[Unit Price]] - Table1[[#This Row],[Cost Per Pc]]) * Table1[[#This Row],[Total Sold]]</f>
        <v>0</v>
      </c>
      <c r="R37" s="7">
        <f>(Table1[[#This Row],[Total Received]] / Table1[[#This Row],[Pcs per Box]]) * Table1[[#This Row],[Cost Price]]</f>
        <v>2592</v>
      </c>
      <c r="S37" s="31">
        <f>SUM($R$3:Table1[[#This Row],[Annual Consumption Value]]) / SUM(Table1[Annual Consumption Value])</f>
        <v>0.32912472028760226</v>
      </c>
      <c r="T37" s="29" t="str">
        <f>IF(Table1[[#This Row],[Cumulative %]]&lt;=0.8, "A", IF(Table1[[#This Row],[Cumulative %]]&lt;=0.95, "B", "C"))</f>
        <v>A</v>
      </c>
    </row>
    <row r="38" spans="1:20" x14ac:dyDescent="0.35">
      <c r="A38" s="7" t="s">
        <v>133</v>
      </c>
      <c r="B38" s="7" t="s">
        <v>91</v>
      </c>
      <c r="C38" s="7" t="s">
        <v>84</v>
      </c>
      <c r="D38" s="7" t="s">
        <v>57</v>
      </c>
      <c r="E38" s="7" t="s">
        <v>142</v>
      </c>
      <c r="F38" s="7">
        <f>(Table1[[#This Row],[Unit Price]] * 0.9) * Table1[[#This Row],[Pcs per Box]]</f>
        <v>972</v>
      </c>
      <c r="G38" s="7">
        <v>18</v>
      </c>
      <c r="H38" s="7">
        <f>Table1[[#This Row],[Cost Price]]/Table1[[#This Row],[Pcs per Box]]</f>
        <v>54</v>
      </c>
      <c r="I38" s="7">
        <v>60</v>
      </c>
      <c r="J38" s="7">
        <f>SUMIF('Stock In'!C:C, Table1[[#This Row],[Medicine ID]], 'Stock In'!E:E) * Table1[[#This Row],[Pcs per Box]]</f>
        <v>216</v>
      </c>
      <c r="K38" s="7">
        <f>SUMIF('Sales Log Table'!C:C, Table1[[#This Row],[Medicine ID]], 'Sales Log Table'!E:E)</f>
        <v>0</v>
      </c>
      <c r="L38" s="7">
        <f>Table1[[#This Row],[Total Received]] - Table1[[#This Row],[Total Sold]]</f>
        <v>216</v>
      </c>
      <c r="M38" s="10">
        <v>78</v>
      </c>
      <c r="N38" s="11">
        <v>46563</v>
      </c>
      <c r="O38" s="12" t="str">
        <f>IF(Table1[[#This Row],[Current Stock]] &lt;= Table1[[#This Row],[Min Stock]], "REORDER NOW", "Good")</f>
        <v>Good</v>
      </c>
      <c r="P38" s="13">
        <f>(Table1[[#This Row],[Unit Price]] - Table1[[#This Row],[Cost Per Pc]]) * Table1[[#This Row],[Total Sold]]</f>
        <v>0</v>
      </c>
      <c r="R38" s="7">
        <f>(Table1[[#This Row],[Total Received]] / Table1[[#This Row],[Pcs per Box]]) * Table1[[#This Row],[Cost Price]]</f>
        <v>11664</v>
      </c>
      <c r="S38" s="31">
        <f>SUM($R$3:Table1[[#This Row],[Annual Consumption Value]]) / SUM(Table1[Annual Consumption Value])</f>
        <v>0.37195529389965798</v>
      </c>
      <c r="T38" s="29" t="str">
        <f>IF(Table1[[#This Row],[Cumulative %]]&lt;=0.8, "A", IF(Table1[[#This Row],[Cumulative %]]&lt;=0.95, "B", "C"))</f>
        <v>A</v>
      </c>
    </row>
    <row r="39" spans="1:20" x14ac:dyDescent="0.35">
      <c r="A39" s="7" t="s">
        <v>134</v>
      </c>
      <c r="B39" s="7" t="s">
        <v>92</v>
      </c>
      <c r="C39" s="7" t="s">
        <v>84</v>
      </c>
      <c r="D39" s="7" t="s">
        <v>57</v>
      </c>
      <c r="E39" s="7" t="s">
        <v>142</v>
      </c>
      <c r="F39" s="7">
        <f>(Table1[[#This Row],[Unit Price]] * 0.9) * Table1[[#This Row],[Pcs per Box]]</f>
        <v>567</v>
      </c>
      <c r="G39" s="7">
        <v>14</v>
      </c>
      <c r="H39" s="7">
        <f>Table1[[#This Row],[Cost Price]]/Table1[[#This Row],[Pcs per Box]]</f>
        <v>40.5</v>
      </c>
      <c r="I39" s="7">
        <v>45</v>
      </c>
      <c r="J39" s="7">
        <f>SUMIF('Stock In'!C:C, Table1[[#This Row],[Medicine ID]], 'Stock In'!E:E) * Table1[[#This Row],[Pcs per Box]]</f>
        <v>42</v>
      </c>
      <c r="K39" s="7">
        <f>SUMIF('Sales Log Table'!C:C, Table1[[#This Row],[Medicine ID]], 'Sales Log Table'!E:E)</f>
        <v>0</v>
      </c>
      <c r="L39" s="7">
        <f>Table1[[#This Row],[Total Received]] - Table1[[#This Row],[Total Sold]]</f>
        <v>42</v>
      </c>
      <c r="M39" s="10">
        <v>29</v>
      </c>
      <c r="N39" s="11">
        <v>46563</v>
      </c>
      <c r="O39" s="12" t="str">
        <f>IF(Table1[[#This Row],[Current Stock]] &lt;= Table1[[#This Row],[Min Stock]], "REORDER NOW", "Good")</f>
        <v>Good</v>
      </c>
      <c r="P39" s="13">
        <f>(Table1[[#This Row],[Unit Price]] - Table1[[#This Row],[Cost Per Pc]]) * Table1[[#This Row],[Total Sold]]</f>
        <v>0</v>
      </c>
      <c r="R39" s="7">
        <f>(Table1[[#This Row],[Total Received]] / Table1[[#This Row],[Pcs per Box]]) * Table1[[#This Row],[Cost Price]]</f>
        <v>1701</v>
      </c>
      <c r="S39" s="31">
        <f>SUM($R$3:Table1[[#This Row],[Annual Consumption Value]]) / SUM(Table1[Annual Consumption Value])</f>
        <v>0.37820141921808276</v>
      </c>
      <c r="T39" s="29" t="str">
        <f>IF(Table1[[#This Row],[Cumulative %]]&lt;=0.8, "A", IF(Table1[[#This Row],[Cumulative %]]&lt;=0.95, "B", "C"))</f>
        <v>A</v>
      </c>
    </row>
    <row r="40" spans="1:20" x14ac:dyDescent="0.35">
      <c r="A40" s="7" t="s">
        <v>135</v>
      </c>
      <c r="B40" s="7" t="s">
        <v>93</v>
      </c>
      <c r="C40" s="7" t="s">
        <v>84</v>
      </c>
      <c r="D40" s="7" t="s">
        <v>57</v>
      </c>
      <c r="E40" s="7" t="s">
        <v>142</v>
      </c>
      <c r="F40" s="7">
        <f>(Table1[[#This Row],[Unit Price]] * 0.9) * Table1[[#This Row],[Pcs per Box]]</f>
        <v>756</v>
      </c>
      <c r="G40" s="7">
        <v>14</v>
      </c>
      <c r="H40" s="7">
        <f>Table1[[#This Row],[Cost Price]]/Table1[[#This Row],[Pcs per Box]]</f>
        <v>54</v>
      </c>
      <c r="I40" s="7">
        <v>60</v>
      </c>
      <c r="J40" s="7">
        <f>SUMIF('Stock In'!C:C, Table1[[#This Row],[Medicine ID]], 'Stock In'!E:E) * Table1[[#This Row],[Pcs per Box]]</f>
        <v>14</v>
      </c>
      <c r="K40" s="7">
        <f>SUMIF('Sales Log Table'!C:C, Table1[[#This Row],[Medicine ID]], 'Sales Log Table'!E:E)</f>
        <v>0</v>
      </c>
      <c r="L40" s="7">
        <f>Table1[[#This Row],[Total Received]] - Table1[[#This Row],[Total Sold]]</f>
        <v>14</v>
      </c>
      <c r="M40" s="10">
        <v>7</v>
      </c>
      <c r="N40" s="11">
        <v>46563</v>
      </c>
      <c r="O40" s="12" t="str">
        <f>IF(Table1[[#This Row],[Current Stock]] &lt;= Table1[[#This Row],[Min Stock]], "REORDER NOW", "Good")</f>
        <v>Good</v>
      </c>
      <c r="P40" s="13">
        <f>(Table1[[#This Row],[Unit Price]] - Table1[[#This Row],[Cost Per Pc]]) * Table1[[#This Row],[Total Sold]]</f>
        <v>0</v>
      </c>
      <c r="R40" s="7">
        <f>(Table1[[#This Row],[Total Received]] / Table1[[#This Row],[Pcs per Box]]) * Table1[[#This Row],[Cost Price]]</f>
        <v>756</v>
      </c>
      <c r="S40" s="31">
        <f>SUM($R$3:Table1[[#This Row],[Annual Consumption Value]]) / SUM(Table1[Annual Consumption Value])</f>
        <v>0.38097747491516043</v>
      </c>
      <c r="T40" s="29" t="str">
        <f>IF(Table1[[#This Row],[Cumulative %]]&lt;=0.8, "A", IF(Table1[[#This Row],[Cumulative %]]&lt;=0.95, "B", "C"))</f>
        <v>A</v>
      </c>
    </row>
    <row r="41" spans="1:20" x14ac:dyDescent="0.35">
      <c r="A41" s="14" t="s">
        <v>258</v>
      </c>
      <c r="B41" s="14" t="s">
        <v>259</v>
      </c>
      <c r="C41" s="15" t="s">
        <v>386</v>
      </c>
      <c r="D41" s="14" t="s">
        <v>56</v>
      </c>
      <c r="E41" s="14" t="s">
        <v>142</v>
      </c>
      <c r="F41" s="16">
        <v>431.23</v>
      </c>
      <c r="G41" s="14">
        <v>14</v>
      </c>
      <c r="H41" s="16">
        <f>Table1[[#This Row],[Cost Price]]/Table1[[#This Row],[Pcs per Box]]</f>
        <v>30.802142857142858</v>
      </c>
      <c r="I41" s="14">
        <v>35</v>
      </c>
      <c r="J41" s="16">
        <f>SUMIF('Stock In'!C:C, Table1[[#This Row],[Medicine ID]], 'Stock In'!E:E) * Table1[[#This Row],[Pcs per Box]]</f>
        <v>28</v>
      </c>
      <c r="K41" s="16">
        <f>SUMIF('Sales Log Table'!C:C, Table1[[#This Row],[Medicine ID]], 'Sales Log Table'!E:E)</f>
        <v>0</v>
      </c>
      <c r="L41" s="16">
        <f>Table1[[#This Row],[Total Received]] - Table1[[#This Row],[Total Sold]]</f>
        <v>28</v>
      </c>
      <c r="M41" s="10">
        <v>14</v>
      </c>
      <c r="N41" s="11">
        <v>46563</v>
      </c>
      <c r="O41" s="12" t="str">
        <f>IF(Table1[[#This Row],[Current Stock]] &lt;= Table1[[#This Row],[Min Stock]], "REORDER NOW", "Good")</f>
        <v>Good</v>
      </c>
      <c r="P41" s="16">
        <f>(Table1[[#This Row],[Unit Price]] - Table1[[#This Row],[Cost Per Pc]]) * Table1[[#This Row],[Total Sold]]</f>
        <v>0</v>
      </c>
      <c r="R41" s="7">
        <f>(Table1[[#This Row],[Total Received]] / Table1[[#This Row],[Pcs per Box]]) * Table1[[#This Row],[Cost Price]]</f>
        <v>862.46</v>
      </c>
      <c r="S41" s="31">
        <f>SUM($R$3:Table1[[#This Row],[Annual Consumption Value]]) / SUM(Table1[Annual Consumption Value])</f>
        <v>0.38414445506926315</v>
      </c>
      <c r="T41" s="29" t="str">
        <f>IF(Table1[[#This Row],[Cumulative %]]&lt;=0.8, "A", IF(Table1[[#This Row],[Cumulative %]]&lt;=0.95, "B", "C"))</f>
        <v>A</v>
      </c>
    </row>
    <row r="42" spans="1:20" x14ac:dyDescent="0.35">
      <c r="A42" s="7" t="s">
        <v>310</v>
      </c>
      <c r="B42" s="7" t="s">
        <v>276</v>
      </c>
      <c r="C42" s="7" t="s">
        <v>84</v>
      </c>
      <c r="D42" s="7" t="s">
        <v>406</v>
      </c>
      <c r="E42" s="7" t="s">
        <v>142</v>
      </c>
      <c r="F42" s="13">
        <v>202.41</v>
      </c>
      <c r="G42" s="7">
        <v>1</v>
      </c>
      <c r="H42" s="13">
        <f>Table1[[#This Row],[Cost Price]]/Table1[[#This Row],[Pcs per Box]]</f>
        <v>202.41</v>
      </c>
      <c r="I42" s="7">
        <v>230</v>
      </c>
      <c r="J42" s="13">
        <f>SUMIF('Stock In'!C:C, Table1[[#This Row],[Medicine ID]], 'Stock In'!E:E) * Table1[[#This Row],[Pcs per Box]]</f>
        <v>30</v>
      </c>
      <c r="K42" s="13">
        <f>SUMIF('Sales Log Table'!C:C, Table1[[#This Row],[Medicine ID]], 'Sales Log Table'!E:E)</f>
        <v>0</v>
      </c>
      <c r="L42" s="13">
        <f>Table1[[#This Row],[Total Received]] - Table1[[#This Row],[Total Sold]]</f>
        <v>30</v>
      </c>
      <c r="M42" s="10">
        <v>1</v>
      </c>
      <c r="N42" s="11">
        <v>46563</v>
      </c>
      <c r="O42" s="12" t="str">
        <f>IF(Table1[[#This Row],[Current Stock]] &lt;= Table1[[#This Row],[Min Stock]], "REORDER NOW", "Good")</f>
        <v>Good</v>
      </c>
      <c r="P42" s="13">
        <f>(Table1[[#This Row],[Unit Price]] - Table1[[#This Row],[Cost Per Pc]]) * Table1[[#This Row],[Total Sold]]</f>
        <v>0</v>
      </c>
      <c r="R42" s="7">
        <f>(Table1[[#This Row],[Total Received]] / Table1[[#This Row],[Pcs per Box]]) * Table1[[#This Row],[Cost Price]]</f>
        <v>6072.3</v>
      </c>
      <c r="S42" s="31">
        <f>SUM($R$3:Table1[[#This Row],[Annual Consumption Value]]) / SUM(Table1[Annual Consumption Value])</f>
        <v>0.40644213100757637</v>
      </c>
      <c r="T42" s="29" t="str">
        <f>IF(Table1[[#This Row],[Cumulative %]]&lt;=0.8, "A", IF(Table1[[#This Row],[Cumulative %]]&lt;=0.95, "B", "C"))</f>
        <v>A</v>
      </c>
    </row>
    <row r="43" spans="1:20" x14ac:dyDescent="0.35">
      <c r="A43" s="7" t="s">
        <v>311</v>
      </c>
      <c r="B43" s="7" t="s">
        <v>277</v>
      </c>
      <c r="C43" s="7" t="s">
        <v>84</v>
      </c>
      <c r="D43" s="7" t="s">
        <v>406</v>
      </c>
      <c r="E43" s="7" t="s">
        <v>142</v>
      </c>
      <c r="F43" s="13">
        <v>211.21</v>
      </c>
      <c r="G43" s="7">
        <v>1</v>
      </c>
      <c r="H43" s="13">
        <f>Table1[[#This Row],[Cost Price]]/Table1[[#This Row],[Pcs per Box]]</f>
        <v>211.21</v>
      </c>
      <c r="I43" s="7">
        <v>240</v>
      </c>
      <c r="J43" s="13">
        <f>SUMIF('Stock In'!C:C, Table1[[#This Row],[Medicine ID]], 'Stock In'!E:E) * Table1[[#This Row],[Pcs per Box]]</f>
        <v>20</v>
      </c>
      <c r="K43" s="13">
        <f>SUMIF('Sales Log Table'!C:C, Table1[[#This Row],[Medicine ID]], 'Sales Log Table'!E:E)</f>
        <v>0</v>
      </c>
      <c r="L43" s="13">
        <f>Table1[[#This Row],[Total Received]] - Table1[[#This Row],[Total Sold]]</f>
        <v>20</v>
      </c>
      <c r="M43" s="10">
        <v>1</v>
      </c>
      <c r="N43" s="11">
        <v>46563</v>
      </c>
      <c r="O43" s="12" t="str">
        <f>IF(Table1[[#This Row],[Current Stock]] &lt;= Table1[[#This Row],[Min Stock]], "REORDER NOW", "Good")</f>
        <v>Good</v>
      </c>
      <c r="P43" s="13">
        <f>(Table1[[#This Row],[Unit Price]] - Table1[[#This Row],[Cost Per Pc]]) * Table1[[#This Row],[Total Sold]]</f>
        <v>0</v>
      </c>
      <c r="R43" s="7">
        <f>(Table1[[#This Row],[Total Received]] / Table1[[#This Row],[Pcs per Box]]) * Table1[[#This Row],[Cost Price]]</f>
        <v>4224.2</v>
      </c>
      <c r="S43" s="31">
        <f>SUM($R$3:Table1[[#This Row],[Annual Consumption Value]]) / SUM(Table1[Annual Consumption Value])</f>
        <v>0.4219535258165652</v>
      </c>
      <c r="T43" s="29" t="str">
        <f>IF(Table1[[#This Row],[Cumulative %]]&lt;=0.8, "A", IF(Table1[[#This Row],[Cumulative %]]&lt;=0.95, "B", "C"))</f>
        <v>A</v>
      </c>
    </row>
    <row r="44" spans="1:20" x14ac:dyDescent="0.35">
      <c r="A44" s="7" t="s">
        <v>320</v>
      </c>
      <c r="B44" s="7" t="s">
        <v>290</v>
      </c>
      <c r="C44" s="7" t="s">
        <v>84</v>
      </c>
      <c r="D44" s="7" t="s">
        <v>406</v>
      </c>
      <c r="E44" s="7" t="s">
        <v>142</v>
      </c>
      <c r="F44" s="13">
        <v>193.62</v>
      </c>
      <c r="G44" s="7">
        <v>1</v>
      </c>
      <c r="H44" s="13">
        <f>Table1[[#This Row],[Cost Price]]/Table1[[#This Row],[Pcs per Box]]</f>
        <v>193.62</v>
      </c>
      <c r="I44" s="7">
        <v>220</v>
      </c>
      <c r="J44" s="13">
        <f>SUMIF('Stock In'!C:C, Table1[[#This Row],[Medicine ID]], 'Stock In'!E:E) * Table1[[#This Row],[Pcs per Box]]</f>
        <v>22</v>
      </c>
      <c r="K44" s="13">
        <f>SUMIF('Sales Log Table'!C:C, Table1[[#This Row],[Medicine ID]], 'Sales Log Table'!E:E)</f>
        <v>0</v>
      </c>
      <c r="L44" s="13">
        <f>Table1[[#This Row],[Total Received]] - Table1[[#This Row],[Total Sold]]</f>
        <v>22</v>
      </c>
      <c r="M44" s="10">
        <v>1</v>
      </c>
      <c r="N44" s="11">
        <v>46563</v>
      </c>
      <c r="O44" s="12" t="str">
        <f>IF(Table1[[#This Row],[Current Stock]] &lt;= Table1[[#This Row],[Min Stock]], "REORDER NOW", "Good")</f>
        <v>Good</v>
      </c>
      <c r="P44" s="13">
        <f>(Table1[[#This Row],[Unit Price]] - Table1[[#This Row],[Cost Per Pc]]) * Table1[[#This Row],[Total Sold]]</f>
        <v>0</v>
      </c>
      <c r="R44" s="7">
        <f>(Table1[[#This Row],[Total Received]] / Table1[[#This Row],[Pcs per Box]]) * Table1[[#This Row],[Cost Price]]</f>
        <v>4259.6400000000003</v>
      </c>
      <c r="S44" s="31">
        <f>SUM($R$3:Table1[[#This Row],[Annual Consumption Value]]) / SUM(Table1[Annual Consumption Value])</f>
        <v>0.4375950574164329</v>
      </c>
      <c r="T44" s="29" t="str">
        <f>IF(Table1[[#This Row],[Cumulative %]]&lt;=0.8, "A", IF(Table1[[#This Row],[Cumulative %]]&lt;=0.95, "B", "C"))</f>
        <v>A</v>
      </c>
    </row>
    <row r="45" spans="1:20" x14ac:dyDescent="0.35">
      <c r="A45" s="7" t="s">
        <v>325</v>
      </c>
      <c r="B45" s="7" t="s">
        <v>299</v>
      </c>
      <c r="C45" s="7" t="s">
        <v>85</v>
      </c>
      <c r="D45" s="7" t="s">
        <v>406</v>
      </c>
      <c r="E45" s="7" t="s">
        <v>142</v>
      </c>
      <c r="F45" s="13">
        <v>162.81</v>
      </c>
      <c r="G45" s="7">
        <v>1</v>
      </c>
      <c r="H45" s="13">
        <f>Table1[[#This Row],[Cost Price]]/Table1[[#This Row],[Pcs per Box]]</f>
        <v>162.81</v>
      </c>
      <c r="I45" s="7">
        <v>185</v>
      </c>
      <c r="J45" s="13">
        <f>SUMIF('Stock In'!C:C, Table1[[#This Row],[Medicine ID]], 'Stock In'!E:E) * Table1[[#This Row],[Pcs per Box]]</f>
        <v>2</v>
      </c>
      <c r="K45" s="13">
        <f>SUMIF('Sales Log Table'!C:C, Table1[[#This Row],[Medicine ID]], 'Sales Log Table'!E:E)</f>
        <v>0</v>
      </c>
      <c r="L45" s="13">
        <f>Table1[[#This Row],[Total Received]] - Table1[[#This Row],[Total Sold]]</f>
        <v>2</v>
      </c>
      <c r="M45" s="10">
        <v>1</v>
      </c>
      <c r="N45" s="11">
        <v>46563</v>
      </c>
      <c r="O45" s="12" t="str">
        <f>IF(Table1[[#This Row],[Current Stock]] &lt;= Table1[[#This Row],[Min Stock]], "REORDER NOW", "Good")</f>
        <v>Good</v>
      </c>
      <c r="P45" s="13">
        <f>(Table1[[#This Row],[Unit Price]] - Table1[[#This Row],[Cost Per Pc]]) * Table1[[#This Row],[Total Sold]]</f>
        <v>0</v>
      </c>
      <c r="R45" s="7">
        <f>(Table1[[#This Row],[Total Received]] / Table1[[#This Row],[Pcs per Box]]) * Table1[[#This Row],[Cost Price]]</f>
        <v>325.62</v>
      </c>
      <c r="S45" s="31">
        <f>SUM($R$3:Table1[[#This Row],[Annual Consumption Value]]) / SUM(Table1[Annual Consumption Value])</f>
        <v>0.43879074426310277</v>
      </c>
      <c r="T45" s="29" t="str">
        <f>IF(Table1[[#This Row],[Cumulative %]]&lt;=0.8, "A", IF(Table1[[#This Row],[Cumulative %]]&lt;=0.95, "B", "C"))</f>
        <v>A</v>
      </c>
    </row>
    <row r="46" spans="1:20" x14ac:dyDescent="0.35">
      <c r="A46" s="7" t="s">
        <v>453</v>
      </c>
      <c r="B46" s="7" t="s">
        <v>454</v>
      </c>
      <c r="C46" s="7" t="s">
        <v>77</v>
      </c>
      <c r="D46" s="7" t="s">
        <v>57</v>
      </c>
      <c r="E46" s="7" t="s">
        <v>142</v>
      </c>
      <c r="F46" s="13">
        <v>258.74</v>
      </c>
      <c r="G46" s="7">
        <v>28</v>
      </c>
      <c r="H46" s="13">
        <f>Table1[[#This Row],[Cost Price]]/Table1[[#This Row],[Pcs per Box]]</f>
        <v>9.2407142857142865</v>
      </c>
      <c r="I46" s="7">
        <v>10.5</v>
      </c>
      <c r="J46" s="13">
        <f>SUMIF('Stock In'!C:C, Table1[[#This Row],[Medicine ID]], 'Stock In'!E:E) * Table1[[#This Row],[Pcs per Box]]</f>
        <v>448</v>
      </c>
      <c r="K46" s="13">
        <f>SUMIF('Sales Log Table'!C:C, Table1[[#This Row],[Medicine ID]], 'Sales Log Table'!E:E)</f>
        <v>0</v>
      </c>
      <c r="L46" s="13">
        <f>Table1[[#This Row],[Total Received]] - Table1[[#This Row],[Total Sold]]</f>
        <v>448</v>
      </c>
      <c r="M46" s="10"/>
      <c r="N46" s="11"/>
      <c r="O46" s="12" t="str">
        <f>IF(Table1[[#This Row],[Current Stock]] &lt;= Table1[[#This Row],[Min Stock]], "REORDER NOW", "Good")</f>
        <v>Good</v>
      </c>
      <c r="P46" s="13">
        <f>(Table1[[#This Row],[Unit Price]] - Table1[[#This Row],[Cost Per Pc]]) * Table1[[#This Row],[Total Sold]]</f>
        <v>0</v>
      </c>
      <c r="R46" s="7">
        <f>(Table1[[#This Row],[Total Received]] / Table1[[#This Row],[Pcs per Box]]) * Table1[[#This Row],[Cost Price]]</f>
        <v>4139.84</v>
      </c>
      <c r="S46" s="31">
        <f>SUM($R$3:Table1[[#This Row],[Annual Consumption Value]]) / SUM(Table1[Annual Consumption Value])</f>
        <v>0.45399236650779862</v>
      </c>
      <c r="T46" s="29" t="str">
        <f>IF(Table1[[#This Row],[Cumulative %]]&lt;=0.8, "A", IF(Table1[[#This Row],[Cumulative %]]&lt;=0.95, "B", "C"))</f>
        <v>A</v>
      </c>
    </row>
    <row r="47" spans="1:20" x14ac:dyDescent="0.35">
      <c r="A47" s="7" t="s">
        <v>455</v>
      </c>
      <c r="B47" s="7" t="s">
        <v>456</v>
      </c>
      <c r="C47" s="7" t="s">
        <v>457</v>
      </c>
      <c r="D47" s="7" t="s">
        <v>56</v>
      </c>
      <c r="E47" s="7" t="s">
        <v>142</v>
      </c>
      <c r="F47" s="13">
        <f>(Table1[[#This Row],[Unit Price]] * 0.9) * Table1[[#This Row],[Pcs per Box]]</f>
        <v>405</v>
      </c>
      <c r="G47" s="7">
        <v>30</v>
      </c>
      <c r="H47" s="13">
        <f>Table1[[#This Row],[Cost Price]]/Table1[[#This Row],[Pcs per Box]]</f>
        <v>13.5</v>
      </c>
      <c r="I47" s="7">
        <v>15</v>
      </c>
      <c r="J47" s="13">
        <f>SUMIF('Stock In'!C:C, Table1[[#This Row],[Medicine ID]], 'Stock In'!E:E) * Table1[[#This Row],[Pcs per Box]]</f>
        <v>360</v>
      </c>
      <c r="K47" s="13">
        <f>SUMIF('Sales Log Table'!C:C, Table1[[#This Row],[Medicine ID]], 'Sales Log Table'!E:E)</f>
        <v>0</v>
      </c>
      <c r="L47" s="13">
        <f>Table1[[#This Row],[Total Received]] - Table1[[#This Row],[Total Sold]]</f>
        <v>360</v>
      </c>
      <c r="M47" s="10"/>
      <c r="N47" s="11"/>
      <c r="O47" s="12" t="str">
        <f>IF(Table1[[#This Row],[Current Stock]] &lt;= Table1[[#This Row],[Min Stock]], "REORDER NOW", "Good")</f>
        <v>Good</v>
      </c>
      <c r="P47" s="13">
        <f>(Table1[[#This Row],[Unit Price]] - Table1[[#This Row],[Cost Per Pc]]) * Table1[[#This Row],[Total Sold]]</f>
        <v>0</v>
      </c>
      <c r="R47" s="7">
        <f>(Table1[[#This Row],[Total Received]] / Table1[[#This Row],[Pcs per Box]]) * Table1[[#This Row],[Cost Price]]</f>
        <v>4860</v>
      </c>
      <c r="S47" s="31">
        <f>SUM($R$3:Table1[[#This Row],[Annual Consumption Value]]) / SUM(Table1[Annual Consumption Value])</f>
        <v>0.47183843884615517</v>
      </c>
      <c r="T47" s="29" t="str">
        <f>IF(Table1[[#This Row],[Cumulative %]]&lt;=0.8, "A", IF(Table1[[#This Row],[Cumulative %]]&lt;=0.95, "B", "C"))</f>
        <v>A</v>
      </c>
    </row>
    <row r="48" spans="1:20" x14ac:dyDescent="0.35">
      <c r="A48" s="7" t="s">
        <v>458</v>
      </c>
      <c r="B48" s="7" t="s">
        <v>459</v>
      </c>
      <c r="C48" s="7" t="s">
        <v>457</v>
      </c>
      <c r="D48" s="7" t="s">
        <v>56</v>
      </c>
      <c r="E48" s="7" t="s">
        <v>142</v>
      </c>
      <c r="F48" s="13">
        <f>(Table1[[#This Row],[Unit Price]] * 0.9) * Table1[[#This Row],[Pcs per Box]]</f>
        <v>0</v>
      </c>
      <c r="G48" s="7">
        <v>30</v>
      </c>
      <c r="H48" s="13">
        <f>Table1[[#This Row],[Cost Price]]/Table1[[#This Row],[Pcs per Box]]</f>
        <v>0</v>
      </c>
      <c r="J48" s="13">
        <f>SUMIF('Stock In'!C:C, Table1[[#This Row],[Medicine ID]], 'Stock In'!E:E) * Table1[[#This Row],[Pcs per Box]]</f>
        <v>30</v>
      </c>
      <c r="K48" s="13">
        <f>SUMIF('Sales Log Table'!C:C, Table1[[#This Row],[Medicine ID]], 'Sales Log Table'!E:E)</f>
        <v>0</v>
      </c>
      <c r="L48" s="13">
        <f>Table1[[#This Row],[Total Received]] - Table1[[#This Row],[Total Sold]]</f>
        <v>30</v>
      </c>
      <c r="M48" s="10"/>
      <c r="N48" s="11">
        <v>46565</v>
      </c>
      <c r="O48" s="12" t="str">
        <f>IF(Table1[[#This Row],[Current Stock]] &lt;= Table1[[#This Row],[Min Stock]], "REORDER NOW", "Good")</f>
        <v>Good</v>
      </c>
      <c r="P48" s="13">
        <f>(Table1[[#This Row],[Unit Price]] - Table1[[#This Row],[Cost Per Pc]]) * Table1[[#This Row],[Total Sold]]</f>
        <v>0</v>
      </c>
      <c r="R48" s="7">
        <f>(Table1[[#This Row],[Total Received]] / Table1[[#This Row],[Pcs per Box]]) * Table1[[#This Row],[Cost Price]]</f>
        <v>0</v>
      </c>
      <c r="S48" s="31">
        <f>SUM($R$3:Table1[[#This Row],[Annual Consumption Value]]) / SUM(Table1[Annual Consumption Value])</f>
        <v>0.47183843884615517</v>
      </c>
      <c r="T48" s="29" t="str">
        <f>IF(Table1[[#This Row],[Cumulative %]]&lt;=0.8, "A", IF(Table1[[#This Row],[Cumulative %]]&lt;=0.95, "B", "C"))</f>
        <v>A</v>
      </c>
    </row>
    <row r="49" spans="1:20" x14ac:dyDescent="0.35">
      <c r="A49" s="7" t="s">
        <v>463</v>
      </c>
      <c r="B49" s="7" t="s">
        <v>460</v>
      </c>
      <c r="C49" s="7" t="s">
        <v>457</v>
      </c>
      <c r="D49" s="7" t="s">
        <v>56</v>
      </c>
      <c r="E49" s="7" t="s">
        <v>142</v>
      </c>
      <c r="F49" s="13">
        <f>(Table1[[#This Row],[Unit Price]] * 0.9) * Table1[[#This Row],[Pcs per Box]]</f>
        <v>0</v>
      </c>
      <c r="G49" s="7">
        <v>50</v>
      </c>
      <c r="H49" s="13">
        <f>Table1[[#This Row],[Cost Price]]/Table1[[#This Row],[Pcs per Box]]</f>
        <v>0</v>
      </c>
      <c r="J49" s="13">
        <f>SUMIF('Stock In'!C:C, Table1[[#This Row],[Medicine ID]], 'Stock In'!E:E) * Table1[[#This Row],[Pcs per Box]]</f>
        <v>50</v>
      </c>
      <c r="K49" s="13">
        <f>SUMIF('Sales Log Table'!C:C, Table1[[#This Row],[Medicine ID]], 'Sales Log Table'!E:E)</f>
        <v>0</v>
      </c>
      <c r="L49" s="13">
        <f>Table1[[#This Row],[Total Received]] - Table1[[#This Row],[Total Sold]]</f>
        <v>50</v>
      </c>
      <c r="M49" s="10"/>
      <c r="N49" s="11">
        <v>46566</v>
      </c>
      <c r="O49" s="12" t="str">
        <f>IF(Table1[[#This Row],[Current Stock]] &lt;= Table1[[#This Row],[Min Stock]], "REORDER NOW", "Good")</f>
        <v>Good</v>
      </c>
      <c r="P49" s="13">
        <f>(Table1[[#This Row],[Unit Price]] - Table1[[#This Row],[Cost Per Pc]]) * Table1[[#This Row],[Total Sold]]</f>
        <v>0</v>
      </c>
      <c r="R49" s="7">
        <f>(Table1[[#This Row],[Total Received]] / Table1[[#This Row],[Pcs per Box]]) * Table1[[#This Row],[Cost Price]]</f>
        <v>0</v>
      </c>
      <c r="S49" s="31">
        <f>SUM($R$3:Table1[[#This Row],[Annual Consumption Value]]) / SUM(Table1[Annual Consumption Value])</f>
        <v>0.47183843884615517</v>
      </c>
      <c r="T49" s="29" t="str">
        <f>IF(Table1[[#This Row],[Cumulative %]]&lt;=0.8, "A", IF(Table1[[#This Row],[Cumulative %]]&lt;=0.95, "B", "C"))</f>
        <v>A</v>
      </c>
    </row>
    <row r="50" spans="1:20" x14ac:dyDescent="0.35">
      <c r="A50" s="7" t="s">
        <v>464</v>
      </c>
      <c r="B50" s="7" t="s">
        <v>461</v>
      </c>
      <c r="C50" s="7" t="s">
        <v>386</v>
      </c>
      <c r="D50" s="7" t="s">
        <v>56</v>
      </c>
      <c r="E50" s="7" t="s">
        <v>142</v>
      </c>
      <c r="F50" s="13">
        <v>739.28</v>
      </c>
      <c r="G50" s="7">
        <v>14</v>
      </c>
      <c r="H50" s="13">
        <f>Table1[[#This Row],[Cost Price]]/Table1[[#This Row],[Pcs per Box]]</f>
        <v>52.805714285714281</v>
      </c>
      <c r="J50" s="13">
        <f>SUMIF('Stock In'!C:C, Table1[[#This Row],[Medicine ID]], 'Stock In'!E:E) * Table1[[#This Row],[Pcs per Box]]</f>
        <v>28</v>
      </c>
      <c r="K50" s="13">
        <f>SUMIF('Sales Log Table'!C:C, Table1[[#This Row],[Medicine ID]], 'Sales Log Table'!E:E)</f>
        <v>0</v>
      </c>
      <c r="L50" s="13">
        <f>Table1[[#This Row],[Total Received]] - Table1[[#This Row],[Total Sold]]</f>
        <v>28</v>
      </c>
      <c r="M50" s="10"/>
      <c r="N50" s="11"/>
      <c r="O50" s="12" t="str">
        <f>IF(Table1[[#This Row],[Current Stock]] &lt;= Table1[[#This Row],[Min Stock]], "REORDER NOW", "Good")</f>
        <v>Good</v>
      </c>
      <c r="P50" s="13">
        <f>(Table1[[#This Row],[Unit Price]] - Table1[[#This Row],[Cost Per Pc]]) * Table1[[#This Row],[Total Sold]]</f>
        <v>0</v>
      </c>
      <c r="R50" s="7">
        <f>(Table1[[#This Row],[Total Received]] / Table1[[#This Row],[Pcs per Box]]) * Table1[[#This Row],[Cost Price]]</f>
        <v>1478.56</v>
      </c>
      <c r="S50" s="31">
        <f>SUM($R$3:Table1[[#This Row],[Annual Consumption Value]]) / SUM(Table1[Annual Consumption Value])</f>
        <v>0.4772677575121223</v>
      </c>
      <c r="T50" s="29" t="str">
        <f>IF(Table1[[#This Row],[Cumulative %]]&lt;=0.8, "A", IF(Table1[[#This Row],[Cumulative %]]&lt;=0.95, "B", "C"))</f>
        <v>A</v>
      </c>
    </row>
    <row r="51" spans="1:20" x14ac:dyDescent="0.35">
      <c r="A51" s="7" t="s">
        <v>465</v>
      </c>
      <c r="B51" s="7" t="s">
        <v>462</v>
      </c>
      <c r="C51" s="7" t="s">
        <v>85</v>
      </c>
      <c r="D51" s="7" t="s">
        <v>56</v>
      </c>
      <c r="E51" s="7" t="s">
        <v>142</v>
      </c>
      <c r="F51" s="13">
        <v>528.15</v>
      </c>
      <c r="G51" s="7">
        <v>15</v>
      </c>
      <c r="H51" s="13">
        <f>Table1[[#This Row],[Cost Price]]/Table1[[#This Row],[Pcs per Box]]</f>
        <v>35.21</v>
      </c>
      <c r="J51" s="13">
        <f>SUMIF('Stock In'!C:C, Table1[[#This Row],[Medicine ID]], 'Stock In'!E:E) * Table1[[#This Row],[Pcs per Box]]</f>
        <v>150</v>
      </c>
      <c r="K51" s="13">
        <f>SUMIF('Sales Log Table'!C:C, Table1[[#This Row],[Medicine ID]], 'Sales Log Table'!E:E)</f>
        <v>0</v>
      </c>
      <c r="L51" s="13">
        <f>Table1[[#This Row],[Total Received]] - Table1[[#This Row],[Total Sold]]</f>
        <v>150</v>
      </c>
      <c r="M51" s="10"/>
      <c r="N51" s="11"/>
      <c r="O51" s="12" t="str">
        <f>IF(Table1[[#This Row],[Current Stock]] &lt;= Table1[[#This Row],[Min Stock]], "REORDER NOW", "Good")</f>
        <v>Good</v>
      </c>
      <c r="P51" s="13">
        <f>(Table1[[#This Row],[Unit Price]] - Table1[[#This Row],[Cost Per Pc]]) * Table1[[#This Row],[Total Sold]]</f>
        <v>0</v>
      </c>
      <c r="R51" s="7">
        <f>(Table1[[#This Row],[Total Received]] / Table1[[#This Row],[Pcs per Box]]) * Table1[[#This Row],[Cost Price]]</f>
        <v>5281.5</v>
      </c>
      <c r="S51" s="31">
        <f>SUM($R$3:Table1[[#This Row],[Annual Consumption Value]]) / SUM(Table1[Annual Consumption Value])</f>
        <v>0.49666159106254004</v>
      </c>
      <c r="T51" s="29" t="str">
        <f>IF(Table1[[#This Row],[Cumulative %]]&lt;=0.8, "A", IF(Table1[[#This Row],[Cumulative %]]&lt;=0.95, "B", "C"))</f>
        <v>A</v>
      </c>
    </row>
    <row r="52" spans="1:20" x14ac:dyDescent="0.35">
      <c r="A52" s="7" t="s">
        <v>530</v>
      </c>
      <c r="B52" s="7" t="s">
        <v>531</v>
      </c>
      <c r="C52" s="7" t="s">
        <v>457</v>
      </c>
      <c r="D52" s="7" t="s">
        <v>406</v>
      </c>
      <c r="E52" s="7" t="s">
        <v>142</v>
      </c>
      <c r="F52" s="13">
        <v>88</v>
      </c>
      <c r="G52" s="7">
        <v>1</v>
      </c>
      <c r="H52" s="13">
        <f>Table1[[#This Row],[Cost Price]]/Table1[[#This Row],[Pcs per Box]]</f>
        <v>88</v>
      </c>
      <c r="I52" s="7">
        <v>100</v>
      </c>
      <c r="J52" s="13">
        <f>SUMIF('Stock In'!C:C, Table1[[#This Row],[Medicine ID]], 'Stock In'!E:E) * Table1[[#This Row],[Pcs per Box]]</f>
        <v>0</v>
      </c>
      <c r="K52" s="13">
        <f>SUMIF('Sales Log Table'!C:C, Table1[[#This Row],[Medicine ID]], 'Sales Log Table'!E:E)</f>
        <v>0</v>
      </c>
      <c r="L52" s="13">
        <f>Table1[[#This Row],[Total Received]] - Table1[[#This Row],[Total Sold]]</f>
        <v>0</v>
      </c>
      <c r="M52" s="10"/>
      <c r="N52" s="11">
        <v>46582</v>
      </c>
      <c r="O52" s="12" t="str">
        <f>IF(Table1[[#This Row],[Current Stock]] &lt;= Table1[[#This Row],[Min Stock]], "REORDER NOW", "Good")</f>
        <v>REORDER NOW</v>
      </c>
      <c r="P52" s="13">
        <f>(Table1[[#This Row],[Unit Price]] - Table1[[#This Row],[Cost Per Pc]]) * Table1[[#This Row],[Total Sold]]</f>
        <v>0</v>
      </c>
      <c r="R52" s="7">
        <f>(Table1[[#This Row],[Total Received]] / Table1[[#This Row],[Pcs per Box]]) * Table1[[#This Row],[Cost Price]]</f>
        <v>0</v>
      </c>
      <c r="S52" s="31">
        <f>SUM($R$3:Table1[[#This Row],[Annual Consumption Value]]) / SUM(Table1[Annual Consumption Value])</f>
        <v>0.49666159106254004</v>
      </c>
      <c r="T52" s="29" t="str">
        <f>IF(Table1[[#This Row],[Cumulative %]]&lt;=0.8, "A", IF(Table1[[#This Row],[Cumulative %]]&lt;=0.95, "B", "C"))</f>
        <v>A</v>
      </c>
    </row>
    <row r="53" spans="1:20" x14ac:dyDescent="0.35">
      <c r="A53" s="7" t="s">
        <v>505</v>
      </c>
      <c r="B53" s="7" t="s">
        <v>468</v>
      </c>
      <c r="C53" s="7" t="s">
        <v>469</v>
      </c>
      <c r="D53" s="7" t="s">
        <v>406</v>
      </c>
      <c r="E53" s="7" t="s">
        <v>473</v>
      </c>
      <c r="F53" s="13">
        <v>14.12</v>
      </c>
      <c r="G53" s="7">
        <v>1</v>
      </c>
      <c r="H53" s="13">
        <v>14.12</v>
      </c>
      <c r="I53" s="7">
        <v>16.05</v>
      </c>
      <c r="J53" s="13">
        <f>SUMIF('Stock In'!C:C, Table1[[#This Row],[Medicine ID]], 'Stock In'!E:E) * Table1[[#This Row],[Pcs per Box]]</f>
        <v>10</v>
      </c>
      <c r="K53" s="13">
        <f>SUMIF('Sales Log Table'!C:C, Table1[[#This Row],[Medicine ID]], 'Sales Log Table'!E:E)</f>
        <v>0</v>
      </c>
      <c r="L53" s="13">
        <f>Table1[[#This Row],[Total Received]] - Table1[[#This Row],[Total Sold]]</f>
        <v>10</v>
      </c>
      <c r="M53" s="10"/>
      <c r="N53" s="11">
        <v>46564</v>
      </c>
      <c r="O53" s="12" t="str">
        <f>IF(Table1[[#This Row],[Current Stock]] &lt;= Table1[[#This Row],[Min Stock]], "REORDER NOW", "Good")</f>
        <v>Good</v>
      </c>
      <c r="P53" s="13">
        <f>(Table1[[#This Row],[Unit Price]] - Table1[[#This Row],[Cost Per Pc]]) * Table1[[#This Row],[Total Sold]]</f>
        <v>0</v>
      </c>
      <c r="R53" s="7">
        <f>(Table1[[#This Row],[Total Received]] / Table1[[#This Row],[Pcs per Box]]) * Table1[[#This Row],[Cost Price]]</f>
        <v>141.19999999999999</v>
      </c>
      <c r="S53" s="31">
        <f>SUM($R$3:Table1[[#This Row],[Annual Consumption Value]]) / SUM(Table1[Annual Consumption Value])</f>
        <v>0.49718008188850221</v>
      </c>
      <c r="T53" s="29" t="str">
        <f>IF(Table1[[#This Row],[Cumulative %]]&lt;=0.8, "A", IF(Table1[[#This Row],[Cumulative %]]&lt;=0.95, "B", "C"))</f>
        <v>A</v>
      </c>
    </row>
    <row r="54" spans="1:20" x14ac:dyDescent="0.35">
      <c r="A54" s="7" t="s">
        <v>506</v>
      </c>
      <c r="B54" s="7" t="s">
        <v>470</v>
      </c>
      <c r="C54" s="7" t="s">
        <v>471</v>
      </c>
      <c r="D54" s="7" t="s">
        <v>406</v>
      </c>
      <c r="E54" s="7" t="s">
        <v>473</v>
      </c>
      <c r="F54" s="13">
        <f>(Table1[[#This Row],[Unit Price]] * 0.9) * Table1[[#This Row],[Pcs per Box]]</f>
        <v>0</v>
      </c>
      <c r="G54" s="7">
        <v>1</v>
      </c>
      <c r="H54" s="13">
        <f>Table1[[#This Row],[Cost Price]]/Table1[[#This Row],[Pcs per Box]]</f>
        <v>0</v>
      </c>
      <c r="J54" s="13">
        <f>SUMIF('Stock In'!C:C, Table1[[#This Row],[Medicine ID]], 'Stock In'!E:E) * Table1[[#This Row],[Pcs per Box]]</f>
        <v>0</v>
      </c>
      <c r="K54" s="13">
        <f>SUMIF('Sales Log Table'!C:C, Table1[[#This Row],[Medicine ID]], 'Sales Log Table'!E:E)</f>
        <v>0</v>
      </c>
      <c r="L54" s="13">
        <f>Table1[[#This Row],[Total Received]] - Table1[[#This Row],[Total Sold]]</f>
        <v>0</v>
      </c>
      <c r="M54" s="10"/>
      <c r="N54" s="11">
        <v>46567</v>
      </c>
      <c r="O54" s="12" t="str">
        <f>IF(Table1[[#This Row],[Current Stock]] &lt;= Table1[[#This Row],[Min Stock]], "REORDER NOW", "Good")</f>
        <v>REORDER NOW</v>
      </c>
      <c r="P54" s="13">
        <f>(Table1[[#This Row],[Unit Price]] - Table1[[#This Row],[Cost Per Pc]]) * Table1[[#This Row],[Total Sold]]</f>
        <v>0</v>
      </c>
      <c r="R54" s="7">
        <f>(Table1[[#This Row],[Total Received]] / Table1[[#This Row],[Pcs per Box]]) * Table1[[#This Row],[Cost Price]]</f>
        <v>0</v>
      </c>
      <c r="S54" s="31">
        <f>SUM($R$3:Table1[[#This Row],[Annual Consumption Value]]) / SUM(Table1[Annual Consumption Value])</f>
        <v>0.49718008188850221</v>
      </c>
      <c r="T54" s="29" t="str">
        <f>IF(Table1[[#This Row],[Cumulative %]]&lt;=0.8, "A", IF(Table1[[#This Row],[Cumulative %]]&lt;=0.95, "B", "C"))</f>
        <v>A</v>
      </c>
    </row>
    <row r="55" spans="1:20" x14ac:dyDescent="0.35">
      <c r="A55" s="7" t="s">
        <v>507</v>
      </c>
      <c r="B55" s="7" t="s">
        <v>472</v>
      </c>
      <c r="C55" s="7" t="s">
        <v>471</v>
      </c>
      <c r="D55" s="7" t="s">
        <v>56</v>
      </c>
      <c r="E55" s="7" t="s">
        <v>473</v>
      </c>
      <c r="F55" s="13">
        <f>(Table1[[#This Row],[Unit Price]] * 0.9) * Table1[[#This Row],[Pcs per Box]]</f>
        <v>450</v>
      </c>
      <c r="G55" s="7">
        <v>100</v>
      </c>
      <c r="H55" s="13">
        <f>Table1[[#This Row],[Cost Price]]/Table1[[#This Row],[Pcs per Box]]</f>
        <v>4.5</v>
      </c>
      <c r="I55" s="7">
        <v>5</v>
      </c>
      <c r="J55" s="13">
        <f>SUMIF('Stock In'!C:C, Table1[[#This Row],[Medicine ID]], 'Stock In'!E:E) * Table1[[#This Row],[Pcs per Box]]</f>
        <v>0</v>
      </c>
      <c r="K55" s="13">
        <f>SUMIF('Sales Log Table'!C:C, Table1[[#This Row],[Medicine ID]], 'Sales Log Table'!E:E)</f>
        <v>0</v>
      </c>
      <c r="L55" s="13">
        <f>Table1[[#This Row],[Total Received]] - Table1[[#This Row],[Total Sold]]</f>
        <v>0</v>
      </c>
      <c r="M55" s="10"/>
      <c r="N55" s="11">
        <v>46568</v>
      </c>
      <c r="O55" s="12" t="str">
        <f>IF(Table1[[#This Row],[Current Stock]] &lt;= Table1[[#This Row],[Min Stock]], "REORDER NOW", "Good")</f>
        <v>REORDER NOW</v>
      </c>
      <c r="P55" s="13">
        <f>(Table1[[#This Row],[Unit Price]] - Table1[[#This Row],[Cost Per Pc]]) * Table1[[#This Row],[Total Sold]]</f>
        <v>0</v>
      </c>
      <c r="R55" s="7">
        <f>(Table1[[#This Row],[Total Received]] / Table1[[#This Row],[Pcs per Box]]) * Table1[[#This Row],[Cost Price]]</f>
        <v>0</v>
      </c>
      <c r="S55" s="31">
        <f>SUM($R$3:Table1[[#This Row],[Annual Consumption Value]]) / SUM(Table1[Annual Consumption Value])</f>
        <v>0.49718008188850221</v>
      </c>
      <c r="T55" s="29" t="str">
        <f>IF(Table1[[#This Row],[Cumulative %]]&lt;=0.8, "A", IF(Table1[[#This Row],[Cumulative %]]&lt;=0.95, "B", "C"))</f>
        <v>A</v>
      </c>
    </row>
    <row r="56" spans="1:20" x14ac:dyDescent="0.35">
      <c r="A56" s="7" t="s">
        <v>253</v>
      </c>
      <c r="B56" s="7" t="s">
        <v>254</v>
      </c>
      <c r="C56" s="7" t="s">
        <v>381</v>
      </c>
      <c r="D56" s="7" t="s">
        <v>56</v>
      </c>
      <c r="E56" s="7" t="s">
        <v>384</v>
      </c>
      <c r="F56" s="7">
        <v>580.84</v>
      </c>
      <c r="G56" s="7">
        <v>60</v>
      </c>
      <c r="H56" s="7">
        <f>Table1[[#This Row],[Cost Price]]/Table1[[#This Row],[Pcs per Box]]</f>
        <v>9.6806666666666672</v>
      </c>
      <c r="I56" s="7">
        <v>11</v>
      </c>
      <c r="J56" s="7">
        <f>SUMIF('Stock In'!C:C, Table1[[#This Row],[Medicine ID]], 'Stock In'!E:E) * Table1[[#This Row],[Pcs per Box]]</f>
        <v>300</v>
      </c>
      <c r="K56" s="7">
        <f>SUMIF('Sales Log Table'!C:C, Table1[[#This Row],[Medicine ID]], 'Sales Log Table'!E:E)</f>
        <v>0</v>
      </c>
      <c r="L56" s="7">
        <f>Table1[[#This Row],[Total Received]] - Table1[[#This Row],[Total Sold]]</f>
        <v>300</v>
      </c>
      <c r="M56" s="10">
        <v>100</v>
      </c>
      <c r="N56" s="11">
        <v>46563</v>
      </c>
      <c r="O56" s="12" t="str">
        <f>IF(Table1[[#This Row],[Current Stock]] &lt;= Table1[[#This Row],[Min Stock]], "REORDER NOW", "Good")</f>
        <v>Good</v>
      </c>
      <c r="P56" s="13">
        <f>(Table1[[#This Row],[Unit Price]] - Table1[[#This Row],[Cost Per Pc]]) * Table1[[#This Row],[Total Sold]]</f>
        <v>0</v>
      </c>
      <c r="R56" s="7">
        <f>(Table1[[#This Row],[Total Received]] / Table1[[#This Row],[Pcs per Box]]) * Table1[[#This Row],[Cost Price]]</f>
        <v>2904.2000000000003</v>
      </c>
      <c r="S56" s="31">
        <f>SUM($R$3:Table1[[#This Row],[Annual Consumption Value]]) / SUM(Table1[Annual Consumption Value])</f>
        <v>0.50784439532164116</v>
      </c>
      <c r="T56" s="29" t="str">
        <f>IF(Table1[[#This Row],[Cumulative %]]&lt;=0.8, "A", IF(Table1[[#This Row],[Cumulative %]]&lt;=0.95, "B", "C"))</f>
        <v>A</v>
      </c>
    </row>
    <row r="57" spans="1:20" x14ac:dyDescent="0.35">
      <c r="A57" s="7" t="s">
        <v>305</v>
      </c>
      <c r="B57" s="7" t="s">
        <v>264</v>
      </c>
      <c r="C57" s="7" t="s">
        <v>388</v>
      </c>
      <c r="D57" s="7" t="s">
        <v>389</v>
      </c>
      <c r="E57" s="7" t="s">
        <v>390</v>
      </c>
      <c r="F57" s="13">
        <v>184.81</v>
      </c>
      <c r="G57" s="7">
        <v>1</v>
      </c>
      <c r="H57" s="13">
        <f>Table1[[#This Row],[Cost Price]]/Table1[[#This Row],[Pcs per Box]]</f>
        <v>184.81</v>
      </c>
      <c r="I57" s="7">
        <v>210</v>
      </c>
      <c r="J57" s="13">
        <f>SUMIF('Stock In'!C:C, Table1[[#This Row],[Medicine ID]], 'Stock In'!E:E) * Table1[[#This Row],[Pcs per Box]]</f>
        <v>10</v>
      </c>
      <c r="K57" s="13">
        <f>SUMIF('Sales Log Table'!C:C, Table1[[#This Row],[Medicine ID]], 'Sales Log Table'!E:E)</f>
        <v>0</v>
      </c>
      <c r="L57" s="13">
        <f>Table1[[#This Row],[Total Received]] - Table1[[#This Row],[Total Sold]]</f>
        <v>10</v>
      </c>
      <c r="M57" s="10">
        <v>1</v>
      </c>
      <c r="N57" s="11">
        <v>46563</v>
      </c>
      <c r="O57" s="12" t="str">
        <f>IF(Table1[[#This Row],[Current Stock]] &lt;= Table1[[#This Row],[Min Stock]], "REORDER NOW", "Good")</f>
        <v>Good</v>
      </c>
      <c r="P57" s="13">
        <f>(Table1[[#This Row],[Unit Price]] - Table1[[#This Row],[Cost Per Pc]]) * Table1[[#This Row],[Total Sold]]</f>
        <v>0</v>
      </c>
      <c r="R57" s="7">
        <f>(Table1[[#This Row],[Total Received]] / Table1[[#This Row],[Pcs per Box]]) * Table1[[#This Row],[Cost Price]]</f>
        <v>1848.1</v>
      </c>
      <c r="S57" s="31">
        <f>SUM($R$3:Table1[[#This Row],[Annual Consumption Value]]) / SUM(Table1[Annual Consumption Value])</f>
        <v>0.51463067645096561</v>
      </c>
      <c r="T57" s="29" t="str">
        <f>IF(Table1[[#This Row],[Cumulative %]]&lt;=0.8, "A", IF(Table1[[#This Row],[Cumulative %]]&lt;=0.95, "B", "C"))</f>
        <v>A</v>
      </c>
    </row>
    <row r="58" spans="1:20" x14ac:dyDescent="0.35">
      <c r="A58" s="7" t="s">
        <v>306</v>
      </c>
      <c r="B58" s="7" t="s">
        <v>265</v>
      </c>
      <c r="C58" s="7" t="s">
        <v>393</v>
      </c>
      <c r="D58" s="7" t="s">
        <v>56</v>
      </c>
      <c r="E58" s="7" t="s">
        <v>392</v>
      </c>
      <c r="F58" s="13">
        <v>580.24</v>
      </c>
      <c r="G58" s="7">
        <v>60</v>
      </c>
      <c r="H58" s="13">
        <f>Table1[[#This Row],[Cost Price]]/Table1[[#This Row],[Pcs per Box]]</f>
        <v>9.6706666666666674</v>
      </c>
      <c r="I58" s="7">
        <v>11</v>
      </c>
      <c r="J58" s="13">
        <f>SUMIF('Stock In'!C:C, Table1[[#This Row],[Medicine ID]], 'Stock In'!E:E) * Table1[[#This Row],[Pcs per Box]]</f>
        <v>300</v>
      </c>
      <c r="K58" s="13">
        <f>SUMIF('Sales Log Table'!C:C, Table1[[#This Row],[Medicine ID]], 'Sales Log Table'!E:E)</f>
        <v>0</v>
      </c>
      <c r="L58" s="13">
        <f>Table1[[#This Row],[Total Received]] - Table1[[#This Row],[Total Sold]]</f>
        <v>300</v>
      </c>
      <c r="M58" s="10">
        <v>60</v>
      </c>
      <c r="N58" s="11">
        <v>46563</v>
      </c>
      <c r="O58" s="12" t="str">
        <f>IF(Table1[[#This Row],[Current Stock]] &lt;= Table1[[#This Row],[Min Stock]], "REORDER NOW", "Good")</f>
        <v>Good</v>
      </c>
      <c r="P58" s="13">
        <f>(Table1[[#This Row],[Unit Price]] - Table1[[#This Row],[Cost Per Pc]]) * Table1[[#This Row],[Total Sold]]</f>
        <v>0</v>
      </c>
      <c r="R58" s="7">
        <f>(Table1[[#This Row],[Total Received]] / Table1[[#This Row],[Pcs per Box]]) * Table1[[#This Row],[Cost Price]]</f>
        <v>2901.2</v>
      </c>
      <c r="S58" s="31">
        <f>SUM($R$3:Table1[[#This Row],[Annual Consumption Value]]) / SUM(Table1[Annual Consumption Value])</f>
        <v>0.52528397379006853</v>
      </c>
      <c r="T58" s="29" t="str">
        <f>IF(Table1[[#This Row],[Cumulative %]]&lt;=0.8, "A", IF(Table1[[#This Row],[Cumulative %]]&lt;=0.95, "B", "C"))</f>
        <v>A</v>
      </c>
    </row>
    <row r="59" spans="1:20" x14ac:dyDescent="0.35">
      <c r="A59" s="7" t="s">
        <v>307</v>
      </c>
      <c r="B59" s="7" t="s">
        <v>266</v>
      </c>
      <c r="C59" s="7" t="s">
        <v>393</v>
      </c>
      <c r="D59" s="7" t="s">
        <v>56</v>
      </c>
      <c r="E59" s="7" t="s">
        <v>392</v>
      </c>
      <c r="F59" s="13">
        <v>563.24</v>
      </c>
      <c r="G59" s="7">
        <v>40</v>
      </c>
      <c r="H59" s="13">
        <f>Table1[[#This Row],[Cost Price]]/Table1[[#This Row],[Pcs per Box]]</f>
        <v>14.081</v>
      </c>
      <c r="I59" s="7">
        <v>16</v>
      </c>
      <c r="J59" s="13">
        <f>SUMIF('Stock In'!C:C, Table1[[#This Row],[Medicine ID]], 'Stock In'!E:E) * Table1[[#This Row],[Pcs per Box]]</f>
        <v>120</v>
      </c>
      <c r="K59" s="13">
        <f>SUMIF('Sales Log Table'!C:C, Table1[[#This Row],[Medicine ID]], 'Sales Log Table'!E:E)</f>
        <v>0</v>
      </c>
      <c r="L59" s="13">
        <f>Table1[[#This Row],[Total Received]] - Table1[[#This Row],[Total Sold]]</f>
        <v>120</v>
      </c>
      <c r="M59" s="10">
        <v>40</v>
      </c>
      <c r="N59" s="11">
        <v>46563</v>
      </c>
      <c r="O59" s="12" t="str">
        <f>IF(Table1[[#This Row],[Current Stock]] &lt;= Table1[[#This Row],[Min Stock]], "REORDER NOW", "Good")</f>
        <v>Good</v>
      </c>
      <c r="P59" s="13">
        <f>(Table1[[#This Row],[Unit Price]] - Table1[[#This Row],[Cost Per Pc]]) * Table1[[#This Row],[Total Sold]]</f>
        <v>0</v>
      </c>
      <c r="R59" s="7">
        <f>(Table1[[#This Row],[Total Received]] / Table1[[#This Row],[Pcs per Box]]) * Table1[[#This Row],[Cost Price]]</f>
        <v>1689.72</v>
      </c>
      <c r="S59" s="31">
        <f>SUM($R$3:Table1[[#This Row],[Annual Consumption Value]]) / SUM(Table1[Annual Consumption Value])</f>
        <v>0.53148867859491788</v>
      </c>
      <c r="T59" s="29" t="str">
        <f>IF(Table1[[#This Row],[Cumulative %]]&lt;=0.8, "A", IF(Table1[[#This Row],[Cumulative %]]&lt;=0.95, "B", "C"))</f>
        <v>A</v>
      </c>
    </row>
    <row r="60" spans="1:20" x14ac:dyDescent="0.35">
      <c r="A60" s="7" t="s">
        <v>312</v>
      </c>
      <c r="B60" s="7" t="s">
        <v>278</v>
      </c>
      <c r="C60" s="7" t="s">
        <v>388</v>
      </c>
      <c r="D60" s="7" t="s">
        <v>389</v>
      </c>
      <c r="E60" s="7" t="s">
        <v>390</v>
      </c>
      <c r="F60" s="13">
        <v>176.02</v>
      </c>
      <c r="G60" s="7">
        <v>1</v>
      </c>
      <c r="H60" s="13">
        <f>Table1[[#This Row],[Cost Price]]/Table1[[#This Row],[Pcs per Box]]</f>
        <v>176.02</v>
      </c>
      <c r="I60" s="7">
        <v>200</v>
      </c>
      <c r="J60" s="13">
        <f>SUMIF('Stock In'!C:C, Table1[[#This Row],[Medicine ID]], 'Stock In'!E:E) * Table1[[#This Row],[Pcs per Box]]</f>
        <v>8</v>
      </c>
      <c r="K60" s="13">
        <f>SUMIF('Sales Log Table'!C:C, Table1[[#This Row],[Medicine ID]], 'Sales Log Table'!E:E)</f>
        <v>0</v>
      </c>
      <c r="L60" s="13">
        <f>Table1[[#This Row],[Total Received]] - Table1[[#This Row],[Total Sold]]</f>
        <v>8</v>
      </c>
      <c r="M60" s="10">
        <v>1</v>
      </c>
      <c r="N60" s="11">
        <v>46563</v>
      </c>
      <c r="O60" s="12" t="str">
        <f>IF(Table1[[#This Row],[Current Stock]] &lt;= Table1[[#This Row],[Min Stock]], "REORDER NOW", "Good")</f>
        <v>Good</v>
      </c>
      <c r="P60" s="13">
        <f>(Table1[[#This Row],[Unit Price]] - Table1[[#This Row],[Cost Per Pc]]) * Table1[[#This Row],[Total Sold]]</f>
        <v>0</v>
      </c>
      <c r="R60" s="7">
        <f>(Table1[[#This Row],[Total Received]] / Table1[[#This Row],[Pcs per Box]]) * Table1[[#This Row],[Cost Price]]</f>
        <v>1408.16</v>
      </c>
      <c r="S60" s="31">
        <f>SUM($R$3:Table1[[#This Row],[Annual Consumption Value]]) / SUM(Table1[Annual Consumption Value])</f>
        <v>0.53665948625417303</v>
      </c>
      <c r="T60" s="29" t="str">
        <f>IF(Table1[[#This Row],[Cumulative %]]&lt;=0.8, "A", IF(Table1[[#This Row],[Cumulative %]]&lt;=0.95, "B", "C"))</f>
        <v>A</v>
      </c>
    </row>
    <row r="61" spans="1:20" x14ac:dyDescent="0.35">
      <c r="A61" s="7" t="s">
        <v>319</v>
      </c>
      <c r="B61" s="7" t="s">
        <v>288</v>
      </c>
      <c r="C61" s="7" t="s">
        <v>391</v>
      </c>
      <c r="D61" s="7" t="s">
        <v>56</v>
      </c>
      <c r="E61" s="7" t="s">
        <v>392</v>
      </c>
      <c r="F61" s="13">
        <v>211.21</v>
      </c>
      <c r="G61" s="7">
        <v>30</v>
      </c>
      <c r="H61" s="13">
        <f>Table1[[#This Row],[Cost Price]]/Table1[[#This Row],[Pcs per Box]]</f>
        <v>7.0403333333333338</v>
      </c>
      <c r="I61" s="7">
        <v>240</v>
      </c>
      <c r="J61" s="13">
        <f>SUMIF('Stock In'!C:C, Table1[[#This Row],[Medicine ID]], 'Stock In'!E:E) * Table1[[#This Row],[Pcs per Box]]</f>
        <v>330</v>
      </c>
      <c r="K61" s="13">
        <f>SUMIF('Sales Log Table'!C:C, Table1[[#This Row],[Medicine ID]], 'Sales Log Table'!E:E)</f>
        <v>0</v>
      </c>
      <c r="L61" s="13">
        <f>Table1[[#This Row],[Total Received]] - Table1[[#This Row],[Total Sold]]</f>
        <v>330</v>
      </c>
      <c r="M61" s="10">
        <v>30</v>
      </c>
      <c r="N61" s="11">
        <v>46563</v>
      </c>
      <c r="O61" s="12" t="str">
        <f>IF(Table1[[#This Row],[Current Stock]] &lt;= Table1[[#This Row],[Min Stock]], "REORDER NOW", "Good")</f>
        <v>Good</v>
      </c>
      <c r="P61" s="13">
        <f>(Table1[[#This Row],[Unit Price]] - Table1[[#This Row],[Cost Per Pc]]) * Table1[[#This Row],[Total Sold]]</f>
        <v>0</v>
      </c>
      <c r="R61" s="7">
        <f>(Table1[[#This Row],[Total Received]] / Table1[[#This Row],[Pcs per Box]]) * Table1[[#This Row],[Cost Price]]</f>
        <v>2323.31</v>
      </c>
      <c r="S61" s="31">
        <f>SUM($R$3:Table1[[#This Row],[Annual Consumption Value]]) / SUM(Table1[Annual Consumption Value])</f>
        <v>0.54519075339911693</v>
      </c>
      <c r="T61" s="29" t="str">
        <f>IF(Table1[[#This Row],[Cumulative %]]&lt;=0.8, "A", IF(Table1[[#This Row],[Cumulative %]]&lt;=0.95, "B", "C"))</f>
        <v>A</v>
      </c>
    </row>
    <row r="62" spans="1:20" x14ac:dyDescent="0.35">
      <c r="A62" s="7" t="s">
        <v>466</v>
      </c>
      <c r="B62" s="7" t="s">
        <v>467</v>
      </c>
      <c r="C62" s="7" t="s">
        <v>393</v>
      </c>
      <c r="D62" s="7" t="s">
        <v>56</v>
      </c>
      <c r="E62" s="7" t="s">
        <v>392</v>
      </c>
      <c r="F62" s="13">
        <v>607.20000000000005</v>
      </c>
      <c r="G62" s="7">
        <v>60</v>
      </c>
      <c r="H62" s="13">
        <f>Table1[[#This Row],[Cost Price]]/Table1[[#This Row],[Pcs per Box]]</f>
        <v>10.120000000000001</v>
      </c>
      <c r="I62" s="7">
        <v>11</v>
      </c>
      <c r="J62" s="13">
        <f>SUMIF('Stock In'!C:C, Table1[[#This Row],[Medicine ID]], 'Stock In'!E:E) * Table1[[#This Row],[Pcs per Box]]</f>
        <v>60</v>
      </c>
      <c r="K62" s="13">
        <f>SUMIF('Sales Log Table'!C:C, Table1[[#This Row],[Medicine ID]], 'Sales Log Table'!E:E)</f>
        <v>50</v>
      </c>
      <c r="L62" s="13">
        <f>Table1[[#This Row],[Total Received]] - Table1[[#This Row],[Total Sold]]</f>
        <v>10</v>
      </c>
      <c r="M62" s="10">
        <v>10</v>
      </c>
      <c r="N62" s="11">
        <v>46563</v>
      </c>
      <c r="O62" s="12" t="str">
        <f>IF(Table1[[#This Row],[Current Stock]] &lt;= Table1[[#This Row],[Min Stock]], "REORDER NOW", "Good")</f>
        <v>REORDER NOW</v>
      </c>
      <c r="P62" s="13">
        <f>(Table1[[#This Row],[Unit Price]] - Table1[[#This Row],[Cost Per Pc]]) * Table1[[#This Row],[Total Sold]]</f>
        <v>43.99999999999995</v>
      </c>
      <c r="R62" s="7">
        <f>(Table1[[#This Row],[Total Received]] / Table1[[#This Row],[Pcs per Box]]) * Table1[[#This Row],[Cost Price]]</f>
        <v>607.20000000000005</v>
      </c>
      <c r="S62" s="31">
        <f>SUM($R$3:Table1[[#This Row],[Annual Consumption Value]]) / SUM(Table1[Annual Consumption Value])</f>
        <v>0.54742041083200788</v>
      </c>
      <c r="T62" s="29" t="str">
        <f>IF(Table1[[#This Row],[Cumulative %]]&lt;=0.8, "A", IF(Table1[[#This Row],[Cumulative %]]&lt;=0.95, "B", "C"))</f>
        <v>A</v>
      </c>
    </row>
    <row r="63" spans="1:20" x14ac:dyDescent="0.35">
      <c r="A63" s="7" t="s">
        <v>337</v>
      </c>
      <c r="B63" s="7" t="s">
        <v>301</v>
      </c>
      <c r="C63" s="7" t="s">
        <v>422</v>
      </c>
      <c r="D63" s="7" t="s">
        <v>56</v>
      </c>
      <c r="E63" s="7" t="s">
        <v>423</v>
      </c>
      <c r="F63" s="13">
        <v>303.60000000000002</v>
      </c>
      <c r="G63" s="7">
        <v>30</v>
      </c>
      <c r="H63" s="13">
        <f>Table1[[#This Row],[Cost Price]]/Table1[[#This Row],[Pcs per Box]]</f>
        <v>10.120000000000001</v>
      </c>
      <c r="I63" s="7">
        <v>11.5</v>
      </c>
      <c r="J63" s="13">
        <f>SUMIF('Stock In'!C:C, Table1[[#This Row],[Medicine ID]], 'Stock In'!E:E) * Table1[[#This Row],[Pcs per Box]]</f>
        <v>60</v>
      </c>
      <c r="K63" s="13">
        <f>SUMIF('Sales Log Table'!C:C, Table1[[#This Row],[Medicine ID]], 'Sales Log Table'!E:E)</f>
        <v>0</v>
      </c>
      <c r="L63" s="13">
        <f>Table1[[#This Row],[Total Received]] - Table1[[#This Row],[Total Sold]]</f>
        <v>60</v>
      </c>
      <c r="M63" s="10">
        <v>30</v>
      </c>
      <c r="N63" s="11">
        <v>46563</v>
      </c>
      <c r="O63" s="12" t="str">
        <f>IF(Table1[[#This Row],[Current Stock]] &lt;= Table1[[#This Row],[Min Stock]], "REORDER NOW", "Good")</f>
        <v>Good</v>
      </c>
      <c r="P63" s="13">
        <f>(Table1[[#This Row],[Unit Price]] - Table1[[#This Row],[Cost Per Pc]]) * Table1[[#This Row],[Total Sold]]</f>
        <v>0</v>
      </c>
      <c r="R63" s="7">
        <f>(Table1[[#This Row],[Total Received]] / Table1[[#This Row],[Pcs per Box]]) * Table1[[#This Row],[Cost Price]]</f>
        <v>607.20000000000005</v>
      </c>
      <c r="S63" s="31">
        <f>SUM($R$3:Table1[[#This Row],[Annual Consumption Value]]) / SUM(Table1[Annual Consumption Value])</f>
        <v>0.54965006826489893</v>
      </c>
      <c r="T63" s="29" t="str">
        <f>IF(Table1[[#This Row],[Cumulative %]]&lt;=0.8, "A", IF(Table1[[#This Row],[Cumulative %]]&lt;=0.95, "B", "C"))</f>
        <v>A</v>
      </c>
    </row>
    <row r="64" spans="1:20" ht="29" x14ac:dyDescent="0.35">
      <c r="A64" s="14" t="s">
        <v>378</v>
      </c>
      <c r="B64" s="14" t="s">
        <v>379</v>
      </c>
      <c r="C64" s="15" t="s">
        <v>417</v>
      </c>
      <c r="D64" s="14" t="s">
        <v>380</v>
      </c>
      <c r="E64" s="14" t="s">
        <v>418</v>
      </c>
      <c r="F64" s="16">
        <v>132</v>
      </c>
      <c r="G64" s="14">
        <v>1</v>
      </c>
      <c r="H64" s="16">
        <f>Table1[[#This Row],[Cost Price]]/Table1[[#This Row],[Pcs per Box]]</f>
        <v>132</v>
      </c>
      <c r="I64" s="14">
        <v>150</v>
      </c>
      <c r="J64" s="16">
        <f>SUMIF('Stock In'!C:C, Table1[[#This Row],[Medicine ID]], 'Stock In'!E:E) * Table1[[#This Row],[Pcs per Box]]</f>
        <v>5</v>
      </c>
      <c r="K64" s="16">
        <f>SUMIF('Sales Log Table'!C:C, Table1[[#This Row],[Medicine ID]], 'Sales Log Table'!E:E)</f>
        <v>0</v>
      </c>
      <c r="L64" s="16">
        <f>Table1[[#This Row],[Total Received]] - Table1[[#This Row],[Total Sold]]</f>
        <v>5</v>
      </c>
      <c r="M64" s="10">
        <v>1</v>
      </c>
      <c r="N64" s="11">
        <v>46563</v>
      </c>
      <c r="O64" s="12" t="str">
        <f>IF(Table1[[#This Row],[Current Stock]] &lt;= Table1[[#This Row],[Min Stock]], "REORDER NOW", "Good")</f>
        <v>Good</v>
      </c>
      <c r="P64" s="16">
        <f>(Table1[[#This Row],[Unit Price]] - Table1[[#This Row],[Cost Per Pc]]) * Table1[[#This Row],[Total Sold]]</f>
        <v>0</v>
      </c>
      <c r="R64" s="7">
        <f>(Table1[[#This Row],[Total Received]] / Table1[[#This Row],[Pcs per Box]]) * Table1[[#This Row],[Cost Price]]</f>
        <v>660</v>
      </c>
      <c r="S64" s="31">
        <f>SUM($R$3:Table1[[#This Row],[Annual Consumption Value]]) / SUM(Table1[Annual Consumption Value])</f>
        <v>0.55207360895282387</v>
      </c>
      <c r="T64" s="29" t="str">
        <f>IF(Table1[[#This Row],[Cumulative %]]&lt;=0.8, "A", IF(Table1[[#This Row],[Cumulative %]]&lt;=0.95, "B", "C"))</f>
        <v>A</v>
      </c>
    </row>
    <row r="65" spans="1:20" x14ac:dyDescent="0.35">
      <c r="A65" s="7" t="s">
        <v>31</v>
      </c>
      <c r="B65" s="7" t="s">
        <v>283</v>
      </c>
      <c r="C65" s="7" t="s">
        <v>32</v>
      </c>
      <c r="D65" s="7" t="s">
        <v>57</v>
      </c>
      <c r="E65" s="7" t="s">
        <v>33</v>
      </c>
      <c r="F65" s="7">
        <v>1584.1</v>
      </c>
      <c r="G65" s="7">
        <v>360</v>
      </c>
      <c r="H65" s="7">
        <f>Table1[[#This Row],[Cost Price]]/Table1[[#This Row],[Pcs per Box]]</f>
        <v>4.4002777777777773</v>
      </c>
      <c r="I65" s="7">
        <v>5</v>
      </c>
      <c r="J65" s="7">
        <f>SUMIF('Stock In'!C:C, Table1[[#This Row],[Medicine ID]], 'Stock In'!E:E) * Table1[[#This Row],[Pcs per Box]]</f>
        <v>2160</v>
      </c>
      <c r="K65" s="7">
        <f>SUMIF('Sales Log Table'!C:C, Table1[[#This Row],[Medicine ID]], 'Sales Log Table'!E:E)</f>
        <v>0</v>
      </c>
      <c r="L65" s="7">
        <f>Table1[[#This Row],[Total Received]] - Table1[[#This Row],[Total Sold]]</f>
        <v>2160</v>
      </c>
      <c r="M65" s="10">
        <v>1200</v>
      </c>
      <c r="N65" s="11">
        <v>46563</v>
      </c>
      <c r="O65" s="12" t="str">
        <f>IF(Table1[[#This Row],[Current Stock]] &lt;= Table1[[#This Row],[Min Stock]], "REORDER NOW", "Good")</f>
        <v>Good</v>
      </c>
      <c r="P65" s="13">
        <f>(Table1[[#This Row],[Unit Price]] - Table1[[#This Row],[Cost Per Pc]]) * Table1[[#This Row],[Total Sold]]</f>
        <v>0</v>
      </c>
      <c r="R65" s="7">
        <f>(Table1[[#This Row],[Total Received]] / Table1[[#This Row],[Pcs per Box]]) * Table1[[#This Row],[Cost Price]]</f>
        <v>9504.5999999999985</v>
      </c>
      <c r="S65" s="31">
        <f>SUM($R$3:Table1[[#This Row],[Annual Consumption Value]]) / SUM(Table1[Annual Consumption Value])</f>
        <v>0.58697479807775055</v>
      </c>
      <c r="T65" s="29" t="str">
        <f>IF(Table1[[#This Row],[Cumulative %]]&lt;=0.8, "A", IF(Table1[[#This Row],[Cumulative %]]&lt;=0.95, "B", "C"))</f>
        <v>A</v>
      </c>
    </row>
    <row r="66" spans="1:20" x14ac:dyDescent="0.35">
      <c r="A66" s="7" t="s">
        <v>34</v>
      </c>
      <c r="B66" s="7" t="s">
        <v>284</v>
      </c>
      <c r="C66" s="7" t="s">
        <v>32</v>
      </c>
      <c r="D66" s="7" t="s">
        <v>57</v>
      </c>
      <c r="E66" s="7" t="s">
        <v>33</v>
      </c>
      <c r="F66" s="13">
        <v>352.02</v>
      </c>
      <c r="G66" s="7">
        <v>40</v>
      </c>
      <c r="H66" s="13">
        <f>Table1[[#This Row],[Cost Price]]/Table1[[#This Row],[Pcs per Box]]</f>
        <v>8.8004999999999995</v>
      </c>
      <c r="I66" s="7">
        <v>10</v>
      </c>
      <c r="J66" s="13">
        <f>SUMIF('Stock In'!C:C, Table1[[#This Row],[Medicine ID]], 'Stock In'!E:E) * Table1[[#This Row],[Pcs per Box]]</f>
        <v>200</v>
      </c>
      <c r="K66" s="13">
        <f>SUMIF('Sales Log Table'!C:C, Table1[[#This Row],[Medicine ID]], 'Sales Log Table'!E:E)</f>
        <v>0</v>
      </c>
      <c r="L66" s="13">
        <f>Table1[[#This Row],[Total Received]] - Table1[[#This Row],[Total Sold]]</f>
        <v>200</v>
      </c>
      <c r="M66" s="10"/>
      <c r="N66" s="11">
        <v>46563</v>
      </c>
      <c r="O66" s="12" t="str">
        <f>IF(Table1[[#This Row],[Current Stock]] &lt;= Table1[[#This Row],[Min Stock]], "REORDER NOW", "Good")</f>
        <v>Good</v>
      </c>
      <c r="P66" s="13">
        <f>(Table1[[#This Row],[Unit Price]] - Table1[[#This Row],[Cost Per Pc]]) * Table1[[#This Row],[Total Sold]]</f>
        <v>0</v>
      </c>
      <c r="R66" s="7">
        <f>(Table1[[#This Row],[Total Received]] / Table1[[#This Row],[Pcs per Box]]) * Table1[[#This Row],[Cost Price]]</f>
        <v>1760.1</v>
      </c>
      <c r="S66" s="31">
        <f>SUM($R$3:Table1[[#This Row],[Annual Consumption Value]]) / SUM(Table1[Annual Consumption Value])</f>
        <v>0.59343794044868503</v>
      </c>
      <c r="T66" s="29" t="str">
        <f>IF(Table1[[#This Row],[Cumulative %]]&lt;=0.8, "A", IF(Table1[[#This Row],[Cumulative %]]&lt;=0.95, "B", "C"))</f>
        <v>A</v>
      </c>
    </row>
    <row r="67" spans="1:20" s="14" customFormat="1" x14ac:dyDescent="0.35">
      <c r="A67" s="7" t="s">
        <v>35</v>
      </c>
      <c r="B67" s="7" t="s">
        <v>38</v>
      </c>
      <c r="C67" s="7" t="s">
        <v>32</v>
      </c>
      <c r="D67" s="7" t="s">
        <v>57</v>
      </c>
      <c r="E67" s="7" t="s">
        <v>33</v>
      </c>
      <c r="F67" s="7">
        <f>(Table1[[#This Row],[Unit Price]] * 0.9) * Table1[[#This Row],[Pcs per Box]]</f>
        <v>648</v>
      </c>
      <c r="G67" s="7">
        <v>120</v>
      </c>
      <c r="H67" s="7">
        <f>Table1[[#This Row],[Cost Price]]/Table1[[#This Row],[Pcs per Box]]</f>
        <v>5.4</v>
      </c>
      <c r="I67" s="7">
        <v>6</v>
      </c>
      <c r="J67" s="7">
        <f>SUMIF('Stock In'!C:C, Table1[[#This Row],[Medicine ID]], 'Stock In'!E:E) * Table1[[#This Row],[Pcs per Box]]</f>
        <v>840</v>
      </c>
      <c r="K67" s="7">
        <f>SUMIF('Sales Log Table'!C:C, Table1[[#This Row],[Medicine ID]], 'Sales Log Table'!E:E)</f>
        <v>20</v>
      </c>
      <c r="L67" s="7">
        <f>Table1[[#This Row],[Total Received]] - Table1[[#This Row],[Total Sold]]</f>
        <v>820</v>
      </c>
      <c r="M67" s="10">
        <v>360</v>
      </c>
      <c r="N67" s="11">
        <v>46563</v>
      </c>
      <c r="O67" s="12" t="str">
        <f>IF(Table1[[#This Row],[Current Stock]] &lt;= Table1[[#This Row],[Min Stock]], "REORDER NOW", "Good")</f>
        <v>Good</v>
      </c>
      <c r="P67" s="13">
        <f>(Table1[[#This Row],[Unit Price]] - Table1[[#This Row],[Cost Per Pc]]) * Table1[[#This Row],[Total Sold]]</f>
        <v>11.999999999999993</v>
      </c>
      <c r="Q67" s="7"/>
      <c r="R67" s="7">
        <f>(Table1[[#This Row],[Total Received]] / Table1[[#This Row],[Pcs per Box]]) * Table1[[#This Row],[Cost Price]]</f>
        <v>4536</v>
      </c>
      <c r="S67" s="31">
        <f>SUM($R$3:Table1[[#This Row],[Annual Consumption Value]]) / SUM(Table1[Annual Consumption Value])</f>
        <v>0.61009427463115107</v>
      </c>
      <c r="T67" s="29" t="str">
        <f>IF(Table1[[#This Row],[Cumulative %]]&lt;=0.8, "A", IF(Table1[[#This Row],[Cumulative %]]&lt;=0.95, "B", "C"))</f>
        <v>A</v>
      </c>
    </row>
    <row r="68" spans="1:20" x14ac:dyDescent="0.35">
      <c r="A68" s="7" t="s">
        <v>36</v>
      </c>
      <c r="B68" s="7" t="s">
        <v>39</v>
      </c>
      <c r="C68" s="7" t="s">
        <v>42</v>
      </c>
      <c r="D68" s="7" t="s">
        <v>57</v>
      </c>
      <c r="E68" s="7" t="s">
        <v>44</v>
      </c>
      <c r="F68" s="7">
        <f>(Table1[[#This Row],[Unit Price]] * 0.9) * Table1[[#This Row],[Pcs per Box]]</f>
        <v>810</v>
      </c>
      <c r="G68" s="7">
        <v>100</v>
      </c>
      <c r="H68" s="7">
        <f>Table1[[#This Row],[Cost Price]]/Table1[[#This Row],[Pcs per Box]]</f>
        <v>8.1</v>
      </c>
      <c r="I68" s="7">
        <v>9</v>
      </c>
      <c r="J68" s="7">
        <f>SUMIF('Stock In'!C:C, Table1[[#This Row],[Medicine ID]], 'Stock In'!E:E) * Table1[[#This Row],[Pcs per Box]]</f>
        <v>400</v>
      </c>
      <c r="K68" s="7">
        <f>SUMIF('Sales Log Table'!C:C, Table1[[#This Row],[Medicine ID]], 'Sales Log Table'!E:E)</f>
        <v>10</v>
      </c>
      <c r="L68" s="7">
        <f>Table1[[#This Row],[Total Received]] - Table1[[#This Row],[Total Sold]]</f>
        <v>390</v>
      </c>
      <c r="M68" s="10">
        <v>140</v>
      </c>
      <c r="N68" s="11">
        <v>46563</v>
      </c>
      <c r="O68" s="12" t="str">
        <f>IF(Table1[[#This Row],[Current Stock]] &lt;= Table1[[#This Row],[Min Stock]], "REORDER NOW", "Good")</f>
        <v>Good</v>
      </c>
      <c r="P68" s="13">
        <f>(Table1[[#This Row],[Unit Price]] - Table1[[#This Row],[Cost Per Pc]]) * Table1[[#This Row],[Total Sold]]</f>
        <v>9.0000000000000036</v>
      </c>
      <c r="R68" s="7">
        <f>(Table1[[#This Row],[Total Received]] / Table1[[#This Row],[Pcs per Box]]) * Table1[[#This Row],[Cost Price]]</f>
        <v>3240</v>
      </c>
      <c r="S68" s="31">
        <f>SUM($R$3:Table1[[#This Row],[Annual Consumption Value]]) / SUM(Table1[Annual Consumption Value])</f>
        <v>0.62199165619005548</v>
      </c>
      <c r="T68" s="29" t="str">
        <f>IF(Table1[[#This Row],[Cumulative %]]&lt;=0.8, "A", IF(Table1[[#This Row],[Cumulative %]]&lt;=0.95, "B", "C"))</f>
        <v>A</v>
      </c>
    </row>
    <row r="69" spans="1:20" x14ac:dyDescent="0.35">
      <c r="A69" s="7" t="s">
        <v>37</v>
      </c>
      <c r="B69" s="7" t="s">
        <v>440</v>
      </c>
      <c r="C69" s="7" t="s">
        <v>42</v>
      </c>
      <c r="D69" s="7" t="s">
        <v>57</v>
      </c>
      <c r="E69" s="7" t="s">
        <v>44</v>
      </c>
      <c r="F69" s="7">
        <v>863</v>
      </c>
      <c r="G69" s="7">
        <v>140</v>
      </c>
      <c r="H69" s="7">
        <f>Table1[[#This Row],[Cost Price]]/Table1[[#This Row],[Pcs per Box]]</f>
        <v>6.1642857142857146</v>
      </c>
      <c r="I69" s="7">
        <v>7</v>
      </c>
      <c r="J69" s="7">
        <f>SUMIF('Stock In'!C:C, Table1[[#This Row],[Medicine ID]], 'Stock In'!E:E) * Table1[[#This Row],[Pcs per Box]]</f>
        <v>980</v>
      </c>
      <c r="K69" s="7">
        <f>SUMIF('Sales Log Table'!C:C, Table1[[#This Row],[Medicine ID]], 'Sales Log Table'!E:E)</f>
        <v>14</v>
      </c>
      <c r="L69" s="7">
        <f>Table1[[#This Row],[Total Received]] - Table1[[#This Row],[Total Sold]]</f>
        <v>966</v>
      </c>
      <c r="M69" s="10">
        <v>600</v>
      </c>
      <c r="N69" s="11">
        <v>46563</v>
      </c>
      <c r="O69" s="12" t="str">
        <f>IF(Table1[[#This Row],[Current Stock]] &lt;= Table1[[#This Row],[Min Stock]], "REORDER NOW", "Good")</f>
        <v>Good</v>
      </c>
      <c r="P69" s="13">
        <f>(Table1[[#This Row],[Unit Price]] - Table1[[#This Row],[Cost Per Pc]]) * Table1[[#This Row],[Total Sold]]</f>
        <v>11.699999999999996</v>
      </c>
      <c r="R69" s="7">
        <f>(Table1[[#This Row],[Total Received]] / Table1[[#This Row],[Pcs per Box]]) * Table1[[#This Row],[Cost Price]]</f>
        <v>6041</v>
      </c>
      <c r="S69" s="31">
        <f>SUM($R$3:Table1[[#This Row],[Annual Consumption Value]]) / SUM(Table1[Annual Consumption Value])</f>
        <v>0.64417439754725958</v>
      </c>
      <c r="T69" s="29" t="str">
        <f>IF(Table1[[#This Row],[Cumulative %]]&lt;=0.8, "A", IF(Table1[[#This Row],[Cumulative %]]&lt;=0.95, "B", "C"))</f>
        <v>A</v>
      </c>
    </row>
    <row r="70" spans="1:20" x14ac:dyDescent="0.35">
      <c r="A70" s="7" t="s">
        <v>45</v>
      </c>
      <c r="B70" s="7" t="s">
        <v>40</v>
      </c>
      <c r="C70" s="7" t="s">
        <v>42</v>
      </c>
      <c r="D70" s="7" t="s">
        <v>57</v>
      </c>
      <c r="E70" s="7" t="s">
        <v>44</v>
      </c>
      <c r="F70" s="7">
        <f>(Table1[[#This Row],[Unit Price]] * 0.9) * Table1[[#This Row],[Pcs per Box]]</f>
        <v>630</v>
      </c>
      <c r="G70" s="7">
        <v>100</v>
      </c>
      <c r="H70" s="7">
        <f>Table1[[#This Row],[Cost Price]]/Table1[[#This Row],[Pcs per Box]]</f>
        <v>6.3</v>
      </c>
      <c r="I70" s="7">
        <v>7</v>
      </c>
      <c r="J70" s="7">
        <f>SUMIF('Stock In'!C:C, Table1[[#This Row],[Medicine ID]], 'Stock In'!E:E) * Table1[[#This Row],[Pcs per Box]]</f>
        <v>400</v>
      </c>
      <c r="K70" s="7">
        <f>SUMIF('Sales Log Table'!C:C, Table1[[#This Row],[Medicine ID]], 'Sales Log Table'!E:E)</f>
        <v>0</v>
      </c>
      <c r="L70" s="7">
        <f>Table1[[#This Row],[Total Received]] - Table1[[#This Row],[Total Sold]]</f>
        <v>400</v>
      </c>
      <c r="M70" s="10">
        <v>100</v>
      </c>
      <c r="N70" s="11">
        <v>46563</v>
      </c>
      <c r="O70" s="12" t="str">
        <f>IF(Table1[[#This Row],[Current Stock]] &lt;= Table1[[#This Row],[Min Stock]], "REORDER NOW", "Good")</f>
        <v>Good</v>
      </c>
      <c r="P70" s="13">
        <f>(Table1[[#This Row],[Unit Price]] - Table1[[#This Row],[Cost Per Pc]]) * Table1[[#This Row],[Total Sold]]</f>
        <v>0</v>
      </c>
      <c r="R70" s="7">
        <f>(Table1[[#This Row],[Total Received]] / Table1[[#This Row],[Pcs per Box]]) * Table1[[#This Row],[Cost Price]]</f>
        <v>2520</v>
      </c>
      <c r="S70" s="31">
        <f>SUM($R$3:Table1[[#This Row],[Annual Consumption Value]]) / SUM(Table1[Annual Consumption Value])</f>
        <v>0.65342791653751853</v>
      </c>
      <c r="T70" s="29" t="str">
        <f>IF(Table1[[#This Row],[Cumulative %]]&lt;=0.8, "A", IF(Table1[[#This Row],[Cumulative %]]&lt;=0.95, "B", "C"))</f>
        <v>A</v>
      </c>
    </row>
    <row r="71" spans="1:20" x14ac:dyDescent="0.35">
      <c r="A71" s="7" t="s">
        <v>46</v>
      </c>
      <c r="B71" s="7" t="s">
        <v>271</v>
      </c>
      <c r="C71" s="7" t="s">
        <v>42</v>
      </c>
      <c r="D71" s="7" t="s">
        <v>57</v>
      </c>
      <c r="E71" s="7" t="s">
        <v>44</v>
      </c>
      <c r="F71" s="7">
        <v>704.05</v>
      </c>
      <c r="G71" s="7">
        <v>100</v>
      </c>
      <c r="H71" s="7">
        <f>Table1[[#This Row],[Cost Price]]/Table1[[#This Row],[Pcs per Box]]</f>
        <v>7.0404999999999998</v>
      </c>
      <c r="I71" s="7">
        <v>8</v>
      </c>
      <c r="J71" s="7">
        <f>SUMIF('Stock In'!C:C, Table1[[#This Row],[Medicine ID]], 'Stock In'!E:E) * Table1[[#This Row],[Pcs per Box]]</f>
        <v>600</v>
      </c>
      <c r="K71" s="7">
        <f>SUMIF('Sales Log Table'!C:C, Table1[[#This Row],[Medicine ID]], 'Sales Log Table'!E:E)</f>
        <v>0</v>
      </c>
      <c r="L71" s="7">
        <f>Table1[[#This Row],[Total Received]] - Table1[[#This Row],[Total Sold]]</f>
        <v>600</v>
      </c>
      <c r="M71" s="10">
        <v>140</v>
      </c>
      <c r="N71" s="11">
        <v>46563</v>
      </c>
      <c r="O71" s="12" t="str">
        <f>IF(Table1[[#This Row],[Current Stock]] &lt;= Table1[[#This Row],[Min Stock]], "REORDER NOW", "Good")</f>
        <v>Good</v>
      </c>
      <c r="P71" s="13">
        <f>(Table1[[#This Row],[Unit Price]] - Table1[[#This Row],[Cost Per Pc]]) * Table1[[#This Row],[Total Sold]]</f>
        <v>0</v>
      </c>
      <c r="R71" s="7">
        <f>(Table1[[#This Row],[Total Received]] / Table1[[#This Row],[Pcs per Box]]) * Table1[[#This Row],[Cost Price]]</f>
        <v>4224.2999999999993</v>
      </c>
      <c r="S71" s="31">
        <f>SUM($R$3:Table1[[#This Row],[Annual Consumption Value]]) / SUM(Table1[Annual Consumption Value])</f>
        <v>0.66893967854964176</v>
      </c>
      <c r="T71" s="29" t="str">
        <f>IF(Table1[[#This Row],[Cumulative %]]&lt;=0.8, "A", IF(Table1[[#This Row],[Cumulative %]]&lt;=0.95, "B", "C"))</f>
        <v>A</v>
      </c>
    </row>
    <row r="72" spans="1:20" x14ac:dyDescent="0.35">
      <c r="A72" s="7" t="s">
        <v>47</v>
      </c>
      <c r="B72" s="7" t="s">
        <v>449</v>
      </c>
      <c r="C72" s="7" t="s">
        <v>42</v>
      </c>
      <c r="D72" s="7" t="s">
        <v>56</v>
      </c>
      <c r="E72" s="7" t="s">
        <v>43</v>
      </c>
      <c r="F72" s="7">
        <v>616.35</v>
      </c>
      <c r="G72" s="7">
        <v>70</v>
      </c>
      <c r="H72" s="7">
        <f>Table1[[#This Row],[Cost Price]]/Table1[[#This Row],[Pcs per Box]]</f>
        <v>8.8049999999999997</v>
      </c>
      <c r="I72" s="7">
        <v>10</v>
      </c>
      <c r="J72" s="7">
        <f>SUMIF('Stock In'!C:C, Table1[[#This Row],[Medicine ID]], 'Stock In'!E:E) * Table1[[#This Row],[Pcs per Box]]</f>
        <v>770</v>
      </c>
      <c r="K72" s="7">
        <f>SUMIF('Sales Log Table'!C:C, Table1[[#This Row],[Medicine ID]], 'Sales Log Table'!E:E)</f>
        <v>0</v>
      </c>
      <c r="L72" s="7">
        <f>Table1[[#This Row],[Total Received]] - Table1[[#This Row],[Total Sold]]</f>
        <v>770</v>
      </c>
      <c r="M72" s="10">
        <v>550</v>
      </c>
      <c r="N72" s="11">
        <v>46563</v>
      </c>
      <c r="O72" s="12" t="str">
        <f>IF(Table1[[#This Row],[Current Stock]] &lt;= Table1[[#This Row],[Min Stock]], "REORDER NOW", "Good")</f>
        <v>Good</v>
      </c>
      <c r="P72" s="13">
        <f>(Table1[[#This Row],[Unit Price]] - Table1[[#This Row],[Cost Per Pc]]) * Table1[[#This Row],[Total Sold]]</f>
        <v>0</v>
      </c>
      <c r="R72" s="7">
        <f>(Table1[[#This Row],[Total Received]] / Table1[[#This Row],[Pcs per Box]]) * Table1[[#This Row],[Cost Price]]</f>
        <v>6779.85</v>
      </c>
      <c r="S72" s="31">
        <f>SUM($R$3:Table1[[#This Row],[Annual Consumption Value]]) / SUM(Table1[Annual Consumption Value])</f>
        <v>0.69383550026635099</v>
      </c>
      <c r="T72" s="29" t="str">
        <f>IF(Table1[[#This Row],[Cumulative %]]&lt;=0.8, "A", IF(Table1[[#This Row],[Cumulative %]]&lt;=0.95, "B", "C"))</f>
        <v>A</v>
      </c>
    </row>
    <row r="73" spans="1:20" x14ac:dyDescent="0.35">
      <c r="A73" s="7" t="s">
        <v>49</v>
      </c>
      <c r="B73" s="7" t="s">
        <v>41</v>
      </c>
      <c r="C73" s="7" t="s">
        <v>42</v>
      </c>
      <c r="D73" s="7" t="s">
        <v>56</v>
      </c>
      <c r="E73" s="7" t="s">
        <v>43</v>
      </c>
      <c r="F73" s="7">
        <f>(Table1[[#This Row],[Unit Price]] * 0.9) * Table1[[#This Row],[Pcs per Box]]</f>
        <v>495</v>
      </c>
      <c r="G73" s="7">
        <v>50</v>
      </c>
      <c r="H73" s="7">
        <f>Table1[[#This Row],[Cost Price]]/Table1[[#This Row],[Pcs per Box]]</f>
        <v>9.9</v>
      </c>
      <c r="I73" s="7">
        <v>11</v>
      </c>
      <c r="J73" s="7">
        <f>SUMIF('Stock In'!C:C, Table1[[#This Row],[Medicine ID]], 'Stock In'!E:E) * Table1[[#This Row],[Pcs per Box]]</f>
        <v>200</v>
      </c>
      <c r="K73" s="7">
        <f>SUMIF('Sales Log Table'!C:C, Table1[[#This Row],[Medicine ID]], 'Sales Log Table'!E:E)</f>
        <v>0</v>
      </c>
      <c r="L73" s="7">
        <f>Table1[[#This Row],[Total Received]] - Table1[[#This Row],[Total Sold]]</f>
        <v>200</v>
      </c>
      <c r="M73" s="10">
        <v>50</v>
      </c>
      <c r="N73" s="11">
        <v>46563</v>
      </c>
      <c r="O73" s="12" t="str">
        <f>IF(Table1[[#This Row],[Current Stock]] &lt;= Table1[[#This Row],[Min Stock]], "REORDER NOW", "Good")</f>
        <v>Good</v>
      </c>
      <c r="P73" s="13">
        <f>(Table1[[#This Row],[Unit Price]] - Table1[[#This Row],[Cost Per Pc]]) * Table1[[#This Row],[Total Sold]]</f>
        <v>0</v>
      </c>
      <c r="R73" s="7">
        <f>(Table1[[#This Row],[Total Received]] / Table1[[#This Row],[Pcs per Box]]) * Table1[[#This Row],[Cost Price]]</f>
        <v>1980</v>
      </c>
      <c r="S73" s="31">
        <f>SUM($R$3:Table1[[#This Row],[Annual Consumption Value]]) / SUM(Table1[Annual Consumption Value])</f>
        <v>0.70110612233012581</v>
      </c>
      <c r="T73" s="29" t="str">
        <f>IF(Table1[[#This Row],[Cumulative %]]&lt;=0.8, "A", IF(Table1[[#This Row],[Cumulative %]]&lt;=0.95, "B", "C"))</f>
        <v>A</v>
      </c>
    </row>
    <row r="74" spans="1:20" x14ac:dyDescent="0.35">
      <c r="A74" s="7" t="s">
        <v>50</v>
      </c>
      <c r="B74" s="7" t="s">
        <v>60</v>
      </c>
      <c r="C74" s="7" t="s">
        <v>42</v>
      </c>
      <c r="D74" s="7" t="s">
        <v>56</v>
      </c>
      <c r="E74" s="7" t="s">
        <v>43</v>
      </c>
      <c r="F74" s="7">
        <f>(Table1[[#This Row],[Unit Price]] * 0.9) * Table1[[#This Row],[Pcs per Box]]</f>
        <v>594</v>
      </c>
      <c r="G74" s="7">
        <v>60</v>
      </c>
      <c r="H74" s="7">
        <f>Table1[[#This Row],[Cost Price]]/Table1[[#This Row],[Pcs per Box]]</f>
        <v>9.9</v>
      </c>
      <c r="I74" s="7">
        <v>11</v>
      </c>
      <c r="J74" s="7">
        <f>SUMIF('Stock In'!C:C, Table1[[#This Row],[Medicine ID]], 'Stock In'!E:E) * Table1[[#This Row],[Pcs per Box]]</f>
        <v>780</v>
      </c>
      <c r="K74" s="7">
        <f>SUMIF('Sales Log Table'!C:C, Table1[[#This Row],[Medicine ID]], 'Sales Log Table'!E:E)</f>
        <v>0</v>
      </c>
      <c r="L74" s="7">
        <f>Table1[[#This Row],[Total Received]] - Table1[[#This Row],[Total Sold]]</f>
        <v>780</v>
      </c>
      <c r="M74" s="10">
        <v>400</v>
      </c>
      <c r="N74" s="11">
        <v>46563</v>
      </c>
      <c r="O74" s="12" t="str">
        <f>IF(Table1[[#This Row],[Current Stock]] &lt;= Table1[[#This Row],[Min Stock]], "REORDER NOW", "Good")</f>
        <v>Good</v>
      </c>
      <c r="P74" s="13">
        <f>(Table1[[#This Row],[Unit Price]] - Table1[[#This Row],[Cost Per Pc]]) * Table1[[#This Row],[Total Sold]]</f>
        <v>0</v>
      </c>
      <c r="R74" s="7">
        <f>(Table1[[#This Row],[Total Received]] / Table1[[#This Row],[Pcs per Box]]) * Table1[[#This Row],[Cost Price]]</f>
        <v>7722</v>
      </c>
      <c r="S74" s="31">
        <f>SUM($R$3:Table1[[#This Row],[Annual Consumption Value]]) / SUM(Table1[Annual Consumption Value])</f>
        <v>0.72946154837884791</v>
      </c>
      <c r="T74" s="29" t="str">
        <f>IF(Table1[[#This Row],[Cumulative %]]&lt;=0.8, "A", IF(Table1[[#This Row],[Cumulative %]]&lt;=0.95, "B", "C"))</f>
        <v>A</v>
      </c>
    </row>
    <row r="75" spans="1:20" x14ac:dyDescent="0.35">
      <c r="A75" s="7" t="s">
        <v>51</v>
      </c>
      <c r="B75" s="7" t="s">
        <v>52</v>
      </c>
      <c r="C75" s="7" t="s">
        <v>54</v>
      </c>
      <c r="D75" s="7" t="s">
        <v>56</v>
      </c>
      <c r="E75" s="7" t="s">
        <v>115</v>
      </c>
      <c r="F75" s="7">
        <f>(Table1[[#This Row],[Unit Price]] * 0.9) * Table1[[#This Row],[Pcs per Box]]</f>
        <v>434.70000000000005</v>
      </c>
      <c r="G75" s="7">
        <v>140</v>
      </c>
      <c r="H75" s="7">
        <f>Table1[[#This Row],[Cost Price]]/Table1[[#This Row],[Pcs per Box]]</f>
        <v>3.1050000000000004</v>
      </c>
      <c r="I75" s="7">
        <v>3.45</v>
      </c>
      <c r="J75" s="7">
        <f>SUMIF('Stock In'!C:C, Table1[[#This Row],[Medicine ID]], 'Stock In'!E:E) * Table1[[#This Row],[Pcs per Box]]</f>
        <v>420</v>
      </c>
      <c r="K75" s="7">
        <f>SUMIF('Sales Log Table'!C:C, Table1[[#This Row],[Medicine ID]], 'Sales Log Table'!E:E)</f>
        <v>0</v>
      </c>
      <c r="L75" s="7">
        <f>Table1[[#This Row],[Total Received]] - Table1[[#This Row],[Total Sold]]</f>
        <v>420</v>
      </c>
      <c r="M75" s="10">
        <v>200</v>
      </c>
      <c r="N75" s="11">
        <v>46563</v>
      </c>
      <c r="O75" s="12" t="str">
        <f>IF(Table1[[#This Row],[Current Stock]] &lt;= Table1[[#This Row],[Min Stock]], "REORDER NOW", "Good")</f>
        <v>Good</v>
      </c>
      <c r="P75" s="13">
        <f>(Table1[[#This Row],[Unit Price]] - Table1[[#This Row],[Cost Per Pc]]) * Table1[[#This Row],[Total Sold]]</f>
        <v>0</v>
      </c>
      <c r="R75" s="7">
        <f>(Table1[[#This Row],[Total Received]] / Table1[[#This Row],[Pcs per Box]]) * Table1[[#This Row],[Cost Price]]</f>
        <v>1304.1000000000001</v>
      </c>
      <c r="S75" s="31">
        <f>SUM($R$3:Table1[[#This Row],[Annual Consumption Value]]) / SUM(Table1[Annual Consumption Value])</f>
        <v>0.73425024445630693</v>
      </c>
      <c r="T75" s="29" t="str">
        <f>IF(Table1[[#This Row],[Cumulative %]]&lt;=0.8, "A", IF(Table1[[#This Row],[Cumulative %]]&lt;=0.95, "B", "C"))</f>
        <v>A</v>
      </c>
    </row>
    <row r="76" spans="1:20" x14ac:dyDescent="0.35">
      <c r="A76" s="7" t="s">
        <v>59</v>
      </c>
      <c r="B76" s="7" t="s">
        <v>53</v>
      </c>
      <c r="C76" s="7" t="s">
        <v>54</v>
      </c>
      <c r="D76" s="7" t="s">
        <v>56</v>
      </c>
      <c r="E76" s="7" t="s">
        <v>115</v>
      </c>
      <c r="F76" s="7">
        <f>(Table1[[#This Row],[Unit Price]] * 0.9) * Table1[[#This Row],[Pcs per Box]]</f>
        <v>181.8</v>
      </c>
      <c r="G76" s="7">
        <v>100</v>
      </c>
      <c r="H76" s="7">
        <f>Table1[[#This Row],[Cost Price]]/Table1[[#This Row],[Pcs per Box]]</f>
        <v>1.8180000000000001</v>
      </c>
      <c r="I76" s="7">
        <v>2.02</v>
      </c>
      <c r="J76" s="7">
        <f>SUMIF('Stock In'!C:C, Table1[[#This Row],[Medicine ID]], 'Stock In'!E:E) * Table1[[#This Row],[Pcs per Box]]</f>
        <v>200</v>
      </c>
      <c r="K76" s="7">
        <f>SUMIF('Sales Log Table'!C:C, Table1[[#This Row],[Medicine ID]], 'Sales Log Table'!E:E)</f>
        <v>0</v>
      </c>
      <c r="L76" s="7">
        <f>Table1[[#This Row],[Total Received]] - Table1[[#This Row],[Total Sold]]</f>
        <v>200</v>
      </c>
      <c r="M76" s="10">
        <v>100</v>
      </c>
      <c r="N76" s="11">
        <v>46563</v>
      </c>
      <c r="O76" s="12" t="str">
        <f>IF(Table1[[#This Row],[Current Stock]] &lt;= Table1[[#This Row],[Min Stock]], "REORDER NOW", "Good")</f>
        <v>Good</v>
      </c>
      <c r="P76" s="13">
        <f>(Table1[[#This Row],[Unit Price]] - Table1[[#This Row],[Cost Per Pc]]) * Table1[[#This Row],[Total Sold]]</f>
        <v>0</v>
      </c>
      <c r="R76" s="7">
        <f>(Table1[[#This Row],[Total Received]] / Table1[[#This Row],[Pcs per Box]]) * Table1[[#This Row],[Cost Price]]</f>
        <v>363.6</v>
      </c>
      <c r="S76" s="31">
        <f>SUM($R$3:Table1[[#This Row],[Annual Consumption Value]]) / SUM(Table1[Annual Consumption Value])</f>
        <v>0.73558539505347287</v>
      </c>
      <c r="T76" s="29" t="str">
        <f>IF(Table1[[#This Row],[Cumulative %]]&lt;=0.8, "A", IF(Table1[[#This Row],[Cumulative %]]&lt;=0.95, "B", "C"))</f>
        <v>A</v>
      </c>
    </row>
    <row r="77" spans="1:20" x14ac:dyDescent="0.35">
      <c r="A77" s="7" t="s">
        <v>62</v>
      </c>
      <c r="B77" s="7" t="s">
        <v>61</v>
      </c>
      <c r="C77" s="7" t="s">
        <v>54</v>
      </c>
      <c r="D77" s="7" t="s">
        <v>56</v>
      </c>
      <c r="E77" s="7" t="s">
        <v>115</v>
      </c>
      <c r="F77" s="7">
        <f>(Table1[[#This Row],[Unit Price]] * 0.9) * Table1[[#This Row],[Pcs per Box]]</f>
        <v>540</v>
      </c>
      <c r="G77" s="7">
        <v>150</v>
      </c>
      <c r="H77" s="7">
        <f>Table1[[#This Row],[Cost Price]]/Table1[[#This Row],[Pcs per Box]]</f>
        <v>3.6</v>
      </c>
      <c r="I77" s="7">
        <v>4</v>
      </c>
      <c r="J77" s="7">
        <f>SUMIF('Stock In'!C:C, Table1[[#This Row],[Medicine ID]], 'Stock In'!E:E) * Table1[[#This Row],[Pcs per Box]]</f>
        <v>900</v>
      </c>
      <c r="K77" s="7">
        <f>SUMIF('Sales Log Table'!C:C, Table1[[#This Row],[Medicine ID]], 'Sales Log Table'!E:E)</f>
        <v>0</v>
      </c>
      <c r="L77" s="7">
        <f>Table1[[#This Row],[Total Received]] - Table1[[#This Row],[Total Sold]]</f>
        <v>900</v>
      </c>
      <c r="M77" s="10">
        <v>150</v>
      </c>
      <c r="N77" s="11">
        <v>46563</v>
      </c>
      <c r="O77" s="12" t="str">
        <f>IF(Table1[[#This Row],[Current Stock]] &lt;= Table1[[#This Row],[Min Stock]], "REORDER NOW", "Good")</f>
        <v>Good</v>
      </c>
      <c r="P77" s="13">
        <f>(Table1[[#This Row],[Unit Price]] - Table1[[#This Row],[Cost Per Pc]]) * Table1[[#This Row],[Total Sold]]</f>
        <v>0</v>
      </c>
      <c r="R77" s="7">
        <f>(Table1[[#This Row],[Total Received]] / Table1[[#This Row],[Pcs per Box]]) * Table1[[#This Row],[Cost Price]]</f>
        <v>3240</v>
      </c>
      <c r="S77" s="31">
        <f>SUM($R$3:Table1[[#This Row],[Annual Consumption Value]]) / SUM(Table1[Annual Consumption Value])</f>
        <v>0.74748277661237728</v>
      </c>
      <c r="T77" s="29" t="str">
        <f>IF(Table1[[#This Row],[Cumulative %]]&lt;=0.8, "A", IF(Table1[[#This Row],[Cumulative %]]&lt;=0.95, "B", "C"))</f>
        <v>A</v>
      </c>
    </row>
    <row r="78" spans="1:20" x14ac:dyDescent="0.35">
      <c r="A78" s="7" t="s">
        <v>322</v>
      </c>
      <c r="B78" s="7" t="s">
        <v>55</v>
      </c>
      <c r="C78" s="7" t="s">
        <v>54</v>
      </c>
      <c r="D78" s="7" t="s">
        <v>56</v>
      </c>
      <c r="E78" s="7" t="s">
        <v>115</v>
      </c>
      <c r="F78" s="7">
        <f>(Table1[[#This Row],[Unit Price]] * 0.9) * Table1[[#This Row],[Pcs per Box]]</f>
        <v>472.5</v>
      </c>
      <c r="G78" s="7">
        <v>150</v>
      </c>
      <c r="H78" s="7">
        <f>Table1[[#This Row],[Cost Price]]/Table1[[#This Row],[Pcs per Box]]</f>
        <v>3.15</v>
      </c>
      <c r="I78" s="7">
        <v>3.5</v>
      </c>
      <c r="J78" s="7">
        <f>SUMIF('Stock In'!C:C, Table1[[#This Row],[Medicine ID]], 'Stock In'!E:E) * Table1[[#This Row],[Pcs per Box]]</f>
        <v>150</v>
      </c>
      <c r="K78" s="7">
        <f>SUMIF('Sales Log Table'!C:C, Table1[[#This Row],[Medicine ID]], 'Sales Log Table'!E:E)</f>
        <v>0</v>
      </c>
      <c r="L78" s="7">
        <f>Table1[[#This Row],[Total Received]] - Table1[[#This Row],[Total Sold]]</f>
        <v>150</v>
      </c>
      <c r="M78" s="10">
        <v>20</v>
      </c>
      <c r="N78" s="11">
        <v>46563</v>
      </c>
      <c r="O78" s="12" t="str">
        <f>IF(Table1[[#This Row],[Current Stock]] &lt;= Table1[[#This Row],[Min Stock]], "REORDER NOW", "Good")</f>
        <v>Good</v>
      </c>
      <c r="P78" s="13">
        <f>(Table1[[#This Row],[Unit Price]] - Table1[[#This Row],[Cost Per Pc]]) * Table1[[#This Row],[Total Sold]]</f>
        <v>0</v>
      </c>
      <c r="Q78" s="14"/>
      <c r="R78" s="14">
        <f>(Table1[[#This Row],[Total Received]] / Table1[[#This Row],[Pcs per Box]]) * Table1[[#This Row],[Cost Price]]</f>
        <v>472.5</v>
      </c>
      <c r="S78" s="33">
        <f>SUM($R$3:Table1[[#This Row],[Annual Consumption Value]]) / SUM(Table1[Annual Consumption Value])</f>
        <v>0.74921781142305077</v>
      </c>
      <c r="T78" s="10" t="str">
        <f>IF(Table1[[#This Row],[Cumulative %]]&lt;=0.8, "A", IF(Table1[[#This Row],[Cumulative %]]&lt;=0.95, "B", "C"))</f>
        <v>A</v>
      </c>
    </row>
    <row r="79" spans="1:20" x14ac:dyDescent="0.35">
      <c r="A79" s="7" t="s">
        <v>323</v>
      </c>
      <c r="B79" s="7" t="s">
        <v>291</v>
      </c>
      <c r="C79" s="7" t="s">
        <v>428</v>
      </c>
      <c r="D79" s="7" t="s">
        <v>429</v>
      </c>
      <c r="E79" s="7" t="s">
        <v>430</v>
      </c>
      <c r="F79" s="13">
        <v>44</v>
      </c>
      <c r="G79" s="7">
        <v>1</v>
      </c>
      <c r="H79" s="13">
        <f>Table1[[#This Row],[Cost Price]]/Table1[[#This Row],[Pcs per Box]]</f>
        <v>44</v>
      </c>
      <c r="I79" s="7">
        <v>50</v>
      </c>
      <c r="J79" s="13">
        <f>SUMIF('Stock In'!C:C, Table1[[#This Row],[Medicine ID]], 'Stock In'!E:E) * Table1[[#This Row],[Pcs per Box]]</f>
        <v>11</v>
      </c>
      <c r="K79" s="13">
        <f>SUMIF('Sales Log Table'!C:C, Table1[[#This Row],[Medicine ID]], 'Sales Log Table'!E:E)</f>
        <v>0</v>
      </c>
      <c r="L79" s="13">
        <f>Table1[[#This Row],[Total Received]] - Table1[[#This Row],[Total Sold]]</f>
        <v>11</v>
      </c>
      <c r="M79" s="10">
        <v>1</v>
      </c>
      <c r="N79" s="11">
        <v>46563</v>
      </c>
      <c r="O79" s="12" t="str">
        <f>IF(Table1[[#This Row],[Current Stock]] &lt;= Table1[[#This Row],[Min Stock]], "REORDER NOW", "Good")</f>
        <v>Good</v>
      </c>
      <c r="P79" s="13">
        <f>(Table1[[#This Row],[Unit Price]] - Table1[[#This Row],[Cost Per Pc]]) * Table1[[#This Row],[Total Sold]]</f>
        <v>0</v>
      </c>
      <c r="R79" s="7">
        <f>(Table1[[#This Row],[Total Received]] / Table1[[#This Row],[Pcs per Box]]) * Table1[[#This Row],[Cost Price]]</f>
        <v>484</v>
      </c>
      <c r="S79" s="31">
        <f>SUM($R$3:Table1[[#This Row],[Annual Consumption Value]]) / SUM(Table1[Annual Consumption Value])</f>
        <v>0.75099507459419579</v>
      </c>
      <c r="T79" s="29" t="str">
        <f>IF(Table1[[#This Row],[Cumulative %]]&lt;=0.8, "A", IF(Table1[[#This Row],[Cumulative %]]&lt;=0.95, "B", "C"))</f>
        <v>A</v>
      </c>
    </row>
    <row r="80" spans="1:20" x14ac:dyDescent="0.35">
      <c r="A80" s="7" t="s">
        <v>324</v>
      </c>
      <c r="B80" s="7" t="s">
        <v>292</v>
      </c>
      <c r="C80" s="7" t="s">
        <v>428</v>
      </c>
      <c r="D80" s="7" t="s">
        <v>56</v>
      </c>
      <c r="E80" s="7" t="s">
        <v>430</v>
      </c>
      <c r="F80" s="13">
        <v>425.07</v>
      </c>
      <c r="G80" s="7">
        <v>42</v>
      </c>
      <c r="H80" s="13">
        <f>Table1[[#This Row],[Cost Price]]/Table1[[#This Row],[Pcs per Box]]</f>
        <v>10.120714285714286</v>
      </c>
      <c r="I80" s="7">
        <v>11.5</v>
      </c>
      <c r="J80" s="13">
        <f>SUMIF('Stock In'!C:C, Table1[[#This Row],[Medicine ID]], 'Stock In'!E:E) * Table1[[#This Row],[Pcs per Box]]</f>
        <v>42</v>
      </c>
      <c r="K80" s="13">
        <f>SUMIF('Sales Log Table'!C:C, Table1[[#This Row],[Medicine ID]], 'Sales Log Table'!E:E)</f>
        <v>0</v>
      </c>
      <c r="L80" s="13">
        <f>Table1[[#This Row],[Total Received]] - Table1[[#This Row],[Total Sold]]</f>
        <v>42</v>
      </c>
      <c r="M80" s="10">
        <v>14</v>
      </c>
      <c r="N80" s="11">
        <v>46563</v>
      </c>
      <c r="O80" s="12" t="str">
        <f>IF(Table1[[#This Row],[Current Stock]] &lt;= Table1[[#This Row],[Min Stock]], "REORDER NOW", "Good")</f>
        <v>Good</v>
      </c>
      <c r="P80" s="13">
        <f>(Table1[[#This Row],[Unit Price]] - Table1[[#This Row],[Cost Per Pc]]) * Table1[[#This Row],[Total Sold]]</f>
        <v>0</v>
      </c>
      <c r="R80" s="7">
        <f>(Table1[[#This Row],[Total Received]] / Table1[[#This Row],[Pcs per Box]]) * Table1[[#This Row],[Cost Price]]</f>
        <v>425.07</v>
      </c>
      <c r="S80" s="31">
        <f>SUM($R$3:Table1[[#This Row],[Annual Consumption Value]]) / SUM(Table1[Annual Consumption Value])</f>
        <v>0.75255594495815981</v>
      </c>
      <c r="T80" s="29" t="str">
        <f>IF(Table1[[#This Row],[Cumulative %]]&lt;=0.8, "A", IF(Table1[[#This Row],[Cumulative %]]&lt;=0.95, "B", "C"))</f>
        <v>A</v>
      </c>
    </row>
    <row r="81" spans="1:20" x14ac:dyDescent="0.35">
      <c r="A81" s="7" t="s">
        <v>326</v>
      </c>
      <c r="B81" s="7" t="s">
        <v>293</v>
      </c>
      <c r="C81" s="7" t="s">
        <v>407</v>
      </c>
      <c r="D81" s="7" t="s">
        <v>57</v>
      </c>
      <c r="E81" s="7" t="s">
        <v>408</v>
      </c>
      <c r="F81" s="13">
        <v>607.20000000000005</v>
      </c>
      <c r="G81" s="7">
        <v>60</v>
      </c>
      <c r="H81" s="13">
        <f>Table1[[#This Row],[Cost Price]]/Table1[[#This Row],[Pcs per Box]]</f>
        <v>10.120000000000001</v>
      </c>
      <c r="I81" s="7">
        <v>11.5</v>
      </c>
      <c r="J81" s="13">
        <f>SUMIF('Stock In'!C:C, Table1[[#This Row],[Medicine ID]], 'Stock In'!E:E) * Table1[[#This Row],[Pcs per Box]]</f>
        <v>60</v>
      </c>
      <c r="K81" s="13">
        <f>SUMIF('Sales Log Table'!C:C, Table1[[#This Row],[Medicine ID]], 'Sales Log Table'!E:E)</f>
        <v>0</v>
      </c>
      <c r="L81" s="13">
        <f>Table1[[#This Row],[Total Received]] - Table1[[#This Row],[Total Sold]]</f>
        <v>60</v>
      </c>
      <c r="M81" s="10">
        <v>10</v>
      </c>
      <c r="N81" s="11">
        <v>46563</v>
      </c>
      <c r="O81" s="12" t="str">
        <f>IF(Table1[[#This Row],[Current Stock]] &lt;= Table1[[#This Row],[Min Stock]], "REORDER NOW", "Good")</f>
        <v>Good</v>
      </c>
      <c r="P81" s="13">
        <f>(Table1[[#This Row],[Unit Price]] - Table1[[#This Row],[Cost Per Pc]]) * Table1[[#This Row],[Total Sold]]</f>
        <v>0</v>
      </c>
      <c r="R81" s="7">
        <f>(Table1[[#This Row],[Total Received]] / Table1[[#This Row],[Pcs per Box]]) * Table1[[#This Row],[Cost Price]]</f>
        <v>607.20000000000005</v>
      </c>
      <c r="S81" s="31">
        <f>SUM($R$3:Table1[[#This Row],[Annual Consumption Value]]) / SUM(Table1[Annual Consumption Value])</f>
        <v>0.75478560239105086</v>
      </c>
      <c r="T81" s="29" t="str">
        <f>IF(Table1[[#This Row],[Cumulative %]]&lt;=0.8, "A", IF(Table1[[#This Row],[Cumulative %]]&lt;=0.95, "B", "C"))</f>
        <v>A</v>
      </c>
    </row>
    <row r="82" spans="1:20" x14ac:dyDescent="0.35">
      <c r="A82" s="7" t="s">
        <v>445</v>
      </c>
      <c r="B82" s="7" t="s">
        <v>441</v>
      </c>
      <c r="C82" s="7" t="s">
        <v>428</v>
      </c>
      <c r="D82" s="7" t="s">
        <v>56</v>
      </c>
      <c r="E82" s="7" t="s">
        <v>430</v>
      </c>
      <c r="F82" s="13">
        <v>290.42</v>
      </c>
      <c r="G82" s="7">
        <v>30</v>
      </c>
      <c r="H82" s="13">
        <f>Table1[[#This Row],[Cost Price]]/Table1[[#This Row],[Pcs per Box]]</f>
        <v>9.6806666666666672</v>
      </c>
      <c r="I82" s="7">
        <v>11</v>
      </c>
      <c r="J82" s="13">
        <f>SUMIF('Stock In'!C:C, Table1[[#This Row],[Medicine ID]], 'Stock In'!E:E) * Table1[[#This Row],[Pcs per Box]]</f>
        <v>180</v>
      </c>
      <c r="K82" s="13">
        <f>SUMIF('Sales Log Table'!C:C, Table1[[#This Row],[Medicine ID]], 'Sales Log Table'!E:E)</f>
        <v>0</v>
      </c>
      <c r="L82" s="13">
        <f>Table1[[#This Row],[Total Received]] - Table1[[#This Row],[Total Sold]]</f>
        <v>180</v>
      </c>
      <c r="M82" s="10"/>
      <c r="N82" s="11"/>
      <c r="O82" s="12" t="str">
        <f>IF(Table1[[#This Row],[Current Stock]] &lt;= Table1[[#This Row],[Min Stock]], "REORDER NOW", "Good")</f>
        <v>Good</v>
      </c>
      <c r="P82" s="13">
        <f>(Table1[[#This Row],[Unit Price]] - Table1[[#This Row],[Cost Per Pc]]) * Table1[[#This Row],[Total Sold]]</f>
        <v>0</v>
      </c>
      <c r="R82" s="7">
        <f>(Table1[[#This Row],[Total Received]] / Table1[[#This Row],[Pcs per Box]]) * Table1[[#This Row],[Cost Price]]</f>
        <v>1742.52</v>
      </c>
      <c r="S82" s="31">
        <f>SUM($R$3:Table1[[#This Row],[Annual Consumption Value]]) / SUM(Table1[Annual Consumption Value])</f>
        <v>0.76118419045093411</v>
      </c>
      <c r="T82" s="29" t="str">
        <f>IF(Table1[[#This Row],[Cumulative %]]&lt;=0.8, "A", IF(Table1[[#This Row],[Cumulative %]]&lt;=0.95, "B", "C"))</f>
        <v>A</v>
      </c>
    </row>
    <row r="83" spans="1:20" x14ac:dyDescent="0.35">
      <c r="A83" s="7" t="s">
        <v>446</v>
      </c>
      <c r="B83" s="7" t="s">
        <v>442</v>
      </c>
      <c r="C83" s="7" t="s">
        <v>443</v>
      </c>
      <c r="D83" s="7" t="s">
        <v>56</v>
      </c>
      <c r="E83" s="7" t="s">
        <v>444</v>
      </c>
      <c r="F83" s="13">
        <v>747.85</v>
      </c>
      <c r="G83" s="7">
        <v>100</v>
      </c>
      <c r="H83" s="13">
        <f>Table1[[#This Row],[Cost Price]]/Table1[[#This Row],[Pcs per Box]]</f>
        <v>7.4785000000000004</v>
      </c>
      <c r="I83" s="7">
        <v>8.5</v>
      </c>
      <c r="J83" s="13">
        <f>SUMIF('Stock In'!C:C, Table1[[#This Row],[Medicine ID]], 'Stock In'!E:E) * Table1[[#This Row],[Pcs per Box]]</f>
        <v>200</v>
      </c>
      <c r="K83" s="13">
        <f>SUMIF('Sales Log Table'!C:C, Table1[[#This Row],[Medicine ID]], 'Sales Log Table'!E:E)</f>
        <v>0</v>
      </c>
      <c r="L83" s="13">
        <f>Table1[[#This Row],[Total Received]] - Table1[[#This Row],[Total Sold]]</f>
        <v>200</v>
      </c>
      <c r="M83" s="10"/>
      <c r="N83" s="11"/>
      <c r="O83" s="12" t="str">
        <f>IF(Table1[[#This Row],[Current Stock]] &lt;= Table1[[#This Row],[Min Stock]], "REORDER NOW", "Good")</f>
        <v>Good</v>
      </c>
      <c r="P83" s="13">
        <f>(Table1[[#This Row],[Unit Price]] - Table1[[#This Row],[Cost Per Pc]]) * Table1[[#This Row],[Total Sold]]</f>
        <v>0</v>
      </c>
      <c r="R83" s="7">
        <f>(Table1[[#This Row],[Total Received]] / Table1[[#This Row],[Pcs per Box]]) * Table1[[#This Row],[Cost Price]]</f>
        <v>1495.7</v>
      </c>
      <c r="S83" s="31">
        <f>SUM($R$3:Table1[[#This Row],[Annual Consumption Value]]) / SUM(Table1[Annual Consumption Value])</f>
        <v>0.76667644773416055</v>
      </c>
      <c r="T83" s="29" t="str">
        <f>IF(Table1[[#This Row],[Cumulative %]]&lt;=0.8, "A", IF(Table1[[#This Row],[Cumulative %]]&lt;=0.95, "B", "C"))</f>
        <v>A</v>
      </c>
    </row>
    <row r="84" spans="1:20" x14ac:dyDescent="0.35">
      <c r="A84" s="7" t="s">
        <v>447</v>
      </c>
      <c r="B84" s="7" t="s">
        <v>538</v>
      </c>
      <c r="C84" s="7" t="s">
        <v>42</v>
      </c>
      <c r="D84" s="7" t="s">
        <v>56</v>
      </c>
      <c r="E84" s="7" t="s">
        <v>44</v>
      </c>
      <c r="F84" s="13">
        <v>863</v>
      </c>
      <c r="G84" s="7">
        <v>140</v>
      </c>
      <c r="H84" s="13">
        <f>Table1[[#This Row],[Cost Price]]/Table1[[#This Row],[Pcs per Box]]</f>
        <v>6.1642857142857146</v>
      </c>
      <c r="I84" s="7">
        <v>7</v>
      </c>
      <c r="J84" s="13">
        <f>SUMIF('Stock In'!C:C, Table1[[#This Row],[Medicine ID]], 'Stock In'!E:E) * Table1[[#This Row],[Pcs per Box]]</f>
        <v>140</v>
      </c>
      <c r="K84" s="13">
        <f>SUMIF('Sales Log Table'!C:C, Table1[[#This Row],[Medicine ID]], 'Sales Log Table'!E:E)</f>
        <v>0</v>
      </c>
      <c r="L84" s="13">
        <f>Table1[[#This Row],[Total Received]] - Table1[[#This Row],[Total Sold]]</f>
        <v>140</v>
      </c>
      <c r="M84" s="10"/>
      <c r="N84" s="11"/>
      <c r="O84" s="12" t="str">
        <f>IF(Table1[[#This Row],[Current Stock]] &lt;= Table1[[#This Row],[Min Stock]], "REORDER NOW", "Good")</f>
        <v>Good</v>
      </c>
      <c r="P84" s="13">
        <f>(Table1[[#This Row],[Unit Price]] - Table1[[#This Row],[Cost Per Pc]]) * Table1[[#This Row],[Total Sold]]</f>
        <v>0</v>
      </c>
      <c r="R84" s="7">
        <f>(Table1[[#This Row],[Total Received]] / Table1[[#This Row],[Pcs per Box]]) * Table1[[#This Row],[Cost Price]]</f>
        <v>863</v>
      </c>
      <c r="S84" s="31">
        <f>SUM($R$3:Table1[[#This Row],[Annual Consumption Value]]) / SUM(Table1[Annual Consumption Value])</f>
        <v>0.76984541078518964</v>
      </c>
      <c r="T84" s="29" t="str">
        <f>IF(Table1[[#This Row],[Cumulative %]]&lt;=0.8, "A", IF(Table1[[#This Row],[Cumulative %]]&lt;=0.95, "B", "C"))</f>
        <v>A</v>
      </c>
    </row>
    <row r="85" spans="1:20" x14ac:dyDescent="0.35">
      <c r="A85" s="7" t="s">
        <v>448</v>
      </c>
      <c r="B85" s="7" t="s">
        <v>450</v>
      </c>
      <c r="C85" s="7" t="s">
        <v>42</v>
      </c>
      <c r="D85" s="7" t="s">
        <v>56</v>
      </c>
      <c r="E85" s="7" t="s">
        <v>44</v>
      </c>
      <c r="F85" s="13">
        <v>660</v>
      </c>
      <c r="G85" s="7">
        <v>50</v>
      </c>
      <c r="H85" s="13">
        <f>Table1[[#This Row],[Cost Price]]/Table1[[#This Row],[Pcs per Box]]</f>
        <v>13.2</v>
      </c>
      <c r="I85" s="7">
        <v>15</v>
      </c>
      <c r="J85" s="13">
        <f>SUMIF('Stock In'!C:C, Table1[[#This Row],[Medicine ID]], 'Stock In'!E:E) * Table1[[#This Row],[Pcs per Box]]</f>
        <v>50</v>
      </c>
      <c r="K85" s="13">
        <f>SUMIF('Sales Log Table'!C:C, Table1[[#This Row],[Medicine ID]], 'Sales Log Table'!E:E)</f>
        <v>0</v>
      </c>
      <c r="L85" s="13">
        <f>Table1[[#This Row],[Total Received]] - Table1[[#This Row],[Total Sold]]</f>
        <v>50</v>
      </c>
      <c r="M85" s="10"/>
      <c r="N85" s="11"/>
      <c r="O85" s="12" t="str">
        <f>IF(Table1[[#This Row],[Current Stock]] &lt;= Table1[[#This Row],[Min Stock]], "REORDER NOW", "Good")</f>
        <v>Good</v>
      </c>
      <c r="P85" s="13">
        <f>(Table1[[#This Row],[Unit Price]] - Table1[[#This Row],[Cost Per Pc]]) * Table1[[#This Row],[Total Sold]]</f>
        <v>0</v>
      </c>
      <c r="R85" s="7">
        <f>(Table1[[#This Row],[Total Received]] / Table1[[#This Row],[Pcs per Box]]) * Table1[[#This Row],[Cost Price]]</f>
        <v>660</v>
      </c>
      <c r="S85" s="31">
        <f>SUM($R$3:Table1[[#This Row],[Annual Consumption Value]]) / SUM(Table1[Annual Consumption Value])</f>
        <v>0.77226895147311458</v>
      </c>
      <c r="T85" s="29" t="str">
        <f>IF(Table1[[#This Row],[Cumulative %]]&lt;=0.8, "A", IF(Table1[[#This Row],[Cumulative %]]&lt;=0.95, "B", "C"))</f>
        <v>A</v>
      </c>
    </row>
    <row r="86" spans="1:20" x14ac:dyDescent="0.35">
      <c r="A86" s="7" t="s">
        <v>107</v>
      </c>
      <c r="B86" s="7" t="s">
        <v>63</v>
      </c>
      <c r="C86" s="7" t="s">
        <v>64</v>
      </c>
      <c r="D86" s="7" t="s">
        <v>56</v>
      </c>
      <c r="E86" s="7" t="s">
        <v>117</v>
      </c>
      <c r="F86" s="7">
        <v>440.03</v>
      </c>
      <c r="G86" s="7">
        <v>100</v>
      </c>
      <c r="H86" s="7">
        <f>Table1[[#This Row],[Cost Price]]/Table1[[#This Row],[Pcs per Box]]</f>
        <v>4.4002999999999997</v>
      </c>
      <c r="I86" s="7">
        <v>5</v>
      </c>
      <c r="J86" s="7">
        <f>SUMIF('Stock In'!C:C, Table1[[#This Row],[Medicine ID]], 'Stock In'!E:E) * Table1[[#This Row],[Pcs per Box]]</f>
        <v>500</v>
      </c>
      <c r="K86" s="7">
        <f>SUMIF('Sales Log Table'!C:C, Table1[[#This Row],[Medicine ID]], 'Sales Log Table'!E:E)</f>
        <v>10</v>
      </c>
      <c r="L86" s="7">
        <f>Table1[[#This Row],[Total Received]] - Table1[[#This Row],[Total Sold]]</f>
        <v>490</v>
      </c>
      <c r="M86" s="10">
        <v>50</v>
      </c>
      <c r="N86" s="11">
        <v>46563</v>
      </c>
      <c r="O86" s="12" t="str">
        <f>IF(Table1[[#This Row],[Current Stock]] &lt;= Table1[[#This Row],[Min Stock]], "REORDER NOW", "Good")</f>
        <v>Good</v>
      </c>
      <c r="P86" s="13">
        <f>(Table1[[#This Row],[Unit Price]] - Table1[[#This Row],[Cost Per Pc]]) * Table1[[#This Row],[Total Sold]]</f>
        <v>5.9970000000000034</v>
      </c>
      <c r="R86" s="7">
        <f>(Table1[[#This Row],[Total Received]] / Table1[[#This Row],[Pcs per Box]]) * Table1[[#This Row],[Cost Price]]</f>
        <v>2200.1499999999996</v>
      </c>
      <c r="S86" s="31">
        <f>SUM($R$3:Table1[[#This Row],[Annual Consumption Value]]) / SUM(Table1[Annual Consumption Value])</f>
        <v>0.78034797123756627</v>
      </c>
      <c r="T86" s="29" t="str">
        <f>IF(Table1[[#This Row],[Cumulative %]]&lt;=0.8, "A", IF(Table1[[#This Row],[Cumulative %]]&lt;=0.95, "B", "C"))</f>
        <v>A</v>
      </c>
    </row>
    <row r="87" spans="1:20" x14ac:dyDescent="0.35">
      <c r="A87" s="7" t="s">
        <v>108</v>
      </c>
      <c r="B87" s="7" t="s">
        <v>65</v>
      </c>
      <c r="C87" s="7" t="s">
        <v>64</v>
      </c>
      <c r="D87" s="7" t="s">
        <v>56</v>
      </c>
      <c r="E87" s="7" t="s">
        <v>117</v>
      </c>
      <c r="F87" s="7">
        <f>(Table1[[#This Row],[Unit Price]] * 0.9) * Table1[[#This Row],[Pcs per Box]]</f>
        <v>450</v>
      </c>
      <c r="G87" s="7">
        <v>100</v>
      </c>
      <c r="H87" s="7">
        <f>Table1[[#This Row],[Cost Price]]/Table1[[#This Row],[Pcs per Box]]</f>
        <v>4.5</v>
      </c>
      <c r="I87" s="7">
        <v>5</v>
      </c>
      <c r="J87" s="7">
        <f>SUMIF('Stock In'!C:C, Table1[[#This Row],[Medicine ID]], 'Stock In'!E:E) * Table1[[#This Row],[Pcs per Box]]</f>
        <v>200</v>
      </c>
      <c r="K87" s="7">
        <f>SUMIF('Sales Log Table'!C:C, Table1[[#This Row],[Medicine ID]], 'Sales Log Table'!E:E)</f>
        <v>0</v>
      </c>
      <c r="L87" s="7">
        <f>Table1[[#This Row],[Total Received]] - Table1[[#This Row],[Total Sold]]</f>
        <v>200</v>
      </c>
      <c r="M87" s="10">
        <v>100</v>
      </c>
      <c r="N87" s="11">
        <v>46563</v>
      </c>
      <c r="O87" s="12" t="str">
        <f>IF(Table1[[#This Row],[Current Stock]] &lt;= Table1[[#This Row],[Min Stock]], "REORDER NOW", "Good")</f>
        <v>Good</v>
      </c>
      <c r="P87" s="13">
        <f>(Table1[[#This Row],[Unit Price]] - Table1[[#This Row],[Cost Per Pc]]) * Table1[[#This Row],[Total Sold]]</f>
        <v>0</v>
      </c>
      <c r="R87" s="7">
        <f>(Table1[[#This Row],[Total Received]] / Table1[[#This Row],[Pcs per Box]]) * Table1[[#This Row],[Cost Price]]</f>
        <v>900</v>
      </c>
      <c r="S87" s="31">
        <f>SUM($R$3:Table1[[#This Row],[Annual Consumption Value]]) / SUM(Table1[Annual Consumption Value])</f>
        <v>0.78365279944837307</v>
      </c>
      <c r="T87" s="29" t="str">
        <f>IF(Table1[[#This Row],[Cumulative %]]&lt;=0.8, "A", IF(Table1[[#This Row],[Cumulative %]]&lt;=0.95, "B", "C"))</f>
        <v>A</v>
      </c>
    </row>
    <row r="88" spans="1:20" x14ac:dyDescent="0.35">
      <c r="A88" s="7" t="s">
        <v>109</v>
      </c>
      <c r="B88" s="7" t="s">
        <v>66</v>
      </c>
      <c r="C88" s="7" t="s">
        <v>64</v>
      </c>
      <c r="D88" s="7" t="s">
        <v>56</v>
      </c>
      <c r="E88" s="7" t="s">
        <v>117</v>
      </c>
      <c r="F88" s="7">
        <f>(Table1[[#This Row],[Unit Price]] * 0.9) * Table1[[#This Row],[Pcs per Box]]</f>
        <v>450</v>
      </c>
      <c r="G88" s="7">
        <v>100</v>
      </c>
      <c r="H88" s="7">
        <f>Table1[[#This Row],[Cost Price]]/Table1[[#This Row],[Pcs per Box]]</f>
        <v>4.5</v>
      </c>
      <c r="I88" s="7">
        <v>5</v>
      </c>
      <c r="J88" s="7">
        <f>SUMIF('Stock In'!C:C, Table1[[#This Row],[Medicine ID]], 'Stock In'!E:E) * Table1[[#This Row],[Pcs per Box]]</f>
        <v>300</v>
      </c>
      <c r="K88" s="7">
        <f>SUMIF('Sales Log Table'!C:C, Table1[[#This Row],[Medicine ID]], 'Sales Log Table'!E:E)</f>
        <v>0</v>
      </c>
      <c r="L88" s="7">
        <f>Table1[[#This Row],[Total Received]] - Table1[[#This Row],[Total Sold]]</f>
        <v>300</v>
      </c>
      <c r="M88" s="10">
        <v>50</v>
      </c>
      <c r="N88" s="11">
        <v>46563</v>
      </c>
      <c r="O88" s="12" t="str">
        <f>IF(Table1[[#This Row],[Current Stock]] &lt;= Table1[[#This Row],[Min Stock]], "REORDER NOW", "Good")</f>
        <v>Good</v>
      </c>
      <c r="P88" s="13">
        <f>(Table1[[#This Row],[Unit Price]] - Table1[[#This Row],[Cost Per Pc]]) * Table1[[#This Row],[Total Sold]]</f>
        <v>0</v>
      </c>
      <c r="R88" s="7">
        <f>(Table1[[#This Row],[Total Received]] / Table1[[#This Row],[Pcs per Box]]) * Table1[[#This Row],[Cost Price]]</f>
        <v>1350</v>
      </c>
      <c r="S88" s="31">
        <f>SUM($R$3:Table1[[#This Row],[Annual Consumption Value]]) / SUM(Table1[Annual Consumption Value])</f>
        <v>0.78861004176458316</v>
      </c>
      <c r="T88" s="29" t="str">
        <f>IF(Table1[[#This Row],[Cumulative %]]&lt;=0.8, "A", IF(Table1[[#This Row],[Cumulative %]]&lt;=0.95, "B", "C"))</f>
        <v>A</v>
      </c>
    </row>
    <row r="89" spans="1:20" x14ac:dyDescent="0.35">
      <c r="A89" s="7" t="s">
        <v>110</v>
      </c>
      <c r="B89" s="7" t="s">
        <v>67</v>
      </c>
      <c r="C89" s="7" t="s">
        <v>64</v>
      </c>
      <c r="D89" s="7" t="s">
        <v>56</v>
      </c>
      <c r="E89" s="7" t="s">
        <v>117</v>
      </c>
      <c r="F89" s="7">
        <f>(Table1[[#This Row],[Unit Price]] * 0.9) * Table1[[#This Row],[Pcs per Box]]</f>
        <v>450</v>
      </c>
      <c r="G89" s="7">
        <v>100</v>
      </c>
      <c r="H89" s="7">
        <f>Table1[[#This Row],[Cost Price]]/Table1[[#This Row],[Pcs per Box]]</f>
        <v>4.5</v>
      </c>
      <c r="I89" s="7">
        <v>5</v>
      </c>
      <c r="J89" s="7">
        <f>SUMIF('Stock In'!C:C, Table1[[#This Row],[Medicine ID]], 'Stock In'!E:E) * Table1[[#This Row],[Pcs per Box]]</f>
        <v>100</v>
      </c>
      <c r="K89" s="7">
        <f>SUMIF('Sales Log Table'!C:C, Table1[[#This Row],[Medicine ID]], 'Sales Log Table'!E:E)</f>
        <v>10</v>
      </c>
      <c r="L89" s="7">
        <f>Table1[[#This Row],[Total Received]] - Table1[[#This Row],[Total Sold]]</f>
        <v>90</v>
      </c>
      <c r="M89" s="10">
        <v>50</v>
      </c>
      <c r="N89" s="11">
        <v>46563</v>
      </c>
      <c r="O89" s="12" t="str">
        <f>IF(Table1[[#This Row],[Current Stock]] &lt;= Table1[[#This Row],[Min Stock]], "REORDER NOW", "Good")</f>
        <v>Good</v>
      </c>
      <c r="P89" s="13">
        <f>(Table1[[#This Row],[Unit Price]] - Table1[[#This Row],[Cost Per Pc]]) * Table1[[#This Row],[Total Sold]]</f>
        <v>5</v>
      </c>
      <c r="R89" s="7">
        <f>(Table1[[#This Row],[Total Received]] / Table1[[#This Row],[Pcs per Box]]) * Table1[[#This Row],[Cost Price]]</f>
        <v>450</v>
      </c>
      <c r="S89" s="31">
        <f>SUM($R$3:Table1[[#This Row],[Annual Consumption Value]]) / SUM(Table1[Annual Consumption Value])</f>
        <v>0.79026245586998656</v>
      </c>
      <c r="T89" s="29" t="str">
        <f>IF(Table1[[#This Row],[Cumulative %]]&lt;=0.8, "A", IF(Table1[[#This Row],[Cumulative %]]&lt;=0.95, "B", "C"))</f>
        <v>A</v>
      </c>
    </row>
    <row r="90" spans="1:20" x14ac:dyDescent="0.35">
      <c r="A90" s="7" t="s">
        <v>111</v>
      </c>
      <c r="B90" s="7" t="s">
        <v>68</v>
      </c>
      <c r="C90" s="7" t="s">
        <v>64</v>
      </c>
      <c r="D90" s="7" t="s">
        <v>56</v>
      </c>
      <c r="E90" s="7" t="s">
        <v>117</v>
      </c>
      <c r="F90" s="7">
        <f>(Table1[[#This Row],[Unit Price]] * 0.9) * Table1[[#This Row],[Pcs per Box]]</f>
        <v>225.89999999999998</v>
      </c>
      <c r="G90" s="7">
        <v>50</v>
      </c>
      <c r="H90" s="7">
        <f>Table1[[#This Row],[Cost Price]]/Table1[[#This Row],[Pcs per Box]]</f>
        <v>4.5179999999999998</v>
      </c>
      <c r="I90" s="7">
        <v>5.0199999999999996</v>
      </c>
      <c r="J90" s="7">
        <f>SUMIF('Stock In'!C:C, Table1[[#This Row],[Medicine ID]], 'Stock In'!E:E) * Table1[[#This Row],[Pcs per Box]]</f>
        <v>100</v>
      </c>
      <c r="K90" s="7">
        <f>SUMIF('Sales Log Table'!C:C, Table1[[#This Row],[Medicine ID]], 'Sales Log Table'!E:E)</f>
        <v>0</v>
      </c>
      <c r="L90" s="7">
        <f>Table1[[#This Row],[Total Received]] - Table1[[#This Row],[Total Sold]]</f>
        <v>100</v>
      </c>
      <c r="M90" s="10">
        <v>40</v>
      </c>
      <c r="N90" s="11">
        <v>46563</v>
      </c>
      <c r="O90" s="12" t="str">
        <f>IF(Table1[[#This Row],[Current Stock]] &lt;= Table1[[#This Row],[Min Stock]], "REORDER NOW", "Good")</f>
        <v>Good</v>
      </c>
      <c r="P90" s="13">
        <f>(Table1[[#This Row],[Unit Price]] - Table1[[#This Row],[Cost Per Pc]]) * Table1[[#This Row],[Total Sold]]</f>
        <v>0</v>
      </c>
      <c r="R90" s="7">
        <f>(Table1[[#This Row],[Total Received]] / Table1[[#This Row],[Pcs per Box]]) * Table1[[#This Row],[Cost Price]]</f>
        <v>451.79999999999995</v>
      </c>
      <c r="S90" s="31">
        <f>SUM($R$3:Table1[[#This Row],[Annual Consumption Value]]) / SUM(Table1[Annual Consumption Value])</f>
        <v>0.79192147963181148</v>
      </c>
      <c r="T90" s="29" t="str">
        <f>IF(Table1[[#This Row],[Cumulative %]]&lt;=0.8, "A", IF(Table1[[#This Row],[Cumulative %]]&lt;=0.95, "B", "C"))</f>
        <v>A</v>
      </c>
    </row>
    <row r="91" spans="1:20" x14ac:dyDescent="0.35">
      <c r="A91" s="7" t="s">
        <v>112</v>
      </c>
      <c r="B91" s="7" t="s">
        <v>69</v>
      </c>
      <c r="C91" s="7" t="s">
        <v>64</v>
      </c>
      <c r="D91" s="7" t="s">
        <v>56</v>
      </c>
      <c r="E91" s="7" t="s">
        <v>117</v>
      </c>
      <c r="F91" s="7">
        <f>(Table1[[#This Row],[Unit Price]] * 0.9) * Table1[[#This Row],[Pcs per Box]]</f>
        <v>225</v>
      </c>
      <c r="G91" s="7">
        <v>50</v>
      </c>
      <c r="H91" s="7">
        <f>Table1[[#This Row],[Cost Price]]/Table1[[#This Row],[Pcs per Box]]</f>
        <v>4.5</v>
      </c>
      <c r="I91" s="7">
        <v>5</v>
      </c>
      <c r="J91" s="7">
        <f>SUMIF('Stock In'!C:C, Table1[[#This Row],[Medicine ID]], 'Stock In'!E:E) * Table1[[#This Row],[Pcs per Box]]</f>
        <v>50</v>
      </c>
      <c r="K91" s="7">
        <f>SUMIF('Sales Log Table'!C:C, Table1[[#This Row],[Medicine ID]], 'Sales Log Table'!E:E)</f>
        <v>0</v>
      </c>
      <c r="L91" s="7">
        <f>Table1[[#This Row],[Total Received]] - Table1[[#This Row],[Total Sold]]</f>
        <v>50</v>
      </c>
      <c r="M91" s="10">
        <v>20</v>
      </c>
      <c r="N91" s="11">
        <v>46563</v>
      </c>
      <c r="O91" s="12" t="str">
        <f>IF(Table1[[#This Row],[Current Stock]] &lt;= Table1[[#This Row],[Min Stock]], "REORDER NOW", "Good")</f>
        <v>Good</v>
      </c>
      <c r="P91" s="13">
        <f>(Table1[[#This Row],[Unit Price]] - Table1[[#This Row],[Cost Per Pc]]) * Table1[[#This Row],[Total Sold]]</f>
        <v>0</v>
      </c>
      <c r="R91" s="7">
        <f>(Table1[[#This Row],[Total Received]] / Table1[[#This Row],[Pcs per Box]]) * Table1[[#This Row],[Cost Price]]</f>
        <v>225</v>
      </c>
      <c r="S91" s="31">
        <f>SUM($R$3:Table1[[#This Row],[Annual Consumption Value]]) / SUM(Table1[Annual Consumption Value])</f>
        <v>0.79274768668451323</v>
      </c>
      <c r="T91" s="29" t="str">
        <f>IF(Table1[[#This Row],[Cumulative %]]&lt;=0.8, "A", IF(Table1[[#This Row],[Cumulative %]]&lt;=0.95, "B", "C"))</f>
        <v>A</v>
      </c>
    </row>
    <row r="92" spans="1:20" x14ac:dyDescent="0.35">
      <c r="A92" s="7" t="s">
        <v>113</v>
      </c>
      <c r="B92" s="7" t="s">
        <v>70</v>
      </c>
      <c r="C92" s="7" t="s">
        <v>64</v>
      </c>
      <c r="D92" s="7" t="s">
        <v>56</v>
      </c>
      <c r="E92" s="7" t="s">
        <v>117</v>
      </c>
      <c r="F92" s="7">
        <f>(Table1[[#This Row],[Unit Price]] * 0.9) * Table1[[#This Row],[Pcs per Box]]</f>
        <v>225</v>
      </c>
      <c r="G92" s="7">
        <v>50</v>
      </c>
      <c r="H92" s="7">
        <f>Table1[[#This Row],[Cost Price]]/Table1[[#This Row],[Pcs per Box]]</f>
        <v>4.5</v>
      </c>
      <c r="I92" s="7">
        <v>5</v>
      </c>
      <c r="J92" s="7">
        <f>SUMIF('Stock In'!C:C, Table1[[#This Row],[Medicine ID]], 'Stock In'!E:E) * Table1[[#This Row],[Pcs per Box]]</f>
        <v>100</v>
      </c>
      <c r="K92" s="7">
        <f>SUMIF('Sales Log Table'!C:C, Table1[[#This Row],[Medicine ID]], 'Sales Log Table'!E:E)</f>
        <v>0</v>
      </c>
      <c r="L92" s="7">
        <f>Table1[[#This Row],[Total Received]] - Table1[[#This Row],[Total Sold]]</f>
        <v>100</v>
      </c>
      <c r="M92" s="10">
        <v>20</v>
      </c>
      <c r="N92" s="11">
        <v>46563</v>
      </c>
      <c r="O92" s="12" t="str">
        <f>IF(Table1[[#This Row],[Current Stock]] &lt;= Table1[[#This Row],[Min Stock]], "REORDER NOW", "Good")</f>
        <v>Good</v>
      </c>
      <c r="P92" s="13">
        <f>(Table1[[#This Row],[Unit Price]] - Table1[[#This Row],[Cost Per Pc]]) * Table1[[#This Row],[Total Sold]]</f>
        <v>0</v>
      </c>
      <c r="R92" s="7">
        <f>(Table1[[#This Row],[Total Received]] / Table1[[#This Row],[Pcs per Box]]) * Table1[[#This Row],[Cost Price]]</f>
        <v>450</v>
      </c>
      <c r="S92" s="31">
        <f>SUM($R$3:Table1[[#This Row],[Annual Consumption Value]]) / SUM(Table1[Annual Consumption Value])</f>
        <v>0.79440010078991663</v>
      </c>
      <c r="T92" s="29" t="str">
        <f>IF(Table1[[#This Row],[Cumulative %]]&lt;=0.8, "A", IF(Table1[[#This Row],[Cumulative %]]&lt;=0.95, "B", "C"))</f>
        <v>A</v>
      </c>
    </row>
    <row r="93" spans="1:20" x14ac:dyDescent="0.35">
      <c r="A93" s="7" t="s">
        <v>114</v>
      </c>
      <c r="B93" s="7" t="s">
        <v>242</v>
      </c>
      <c r="C93" s="7" t="s">
        <v>71</v>
      </c>
      <c r="D93" s="7" t="s">
        <v>56</v>
      </c>
      <c r="E93" s="7" t="s">
        <v>72</v>
      </c>
      <c r="F93" s="13">
        <f>(Table1[[#This Row],[Unit Price]] * 0.9) * Table1[[#This Row],[Pcs per Box]]</f>
        <v>360</v>
      </c>
      <c r="G93" s="7">
        <v>100</v>
      </c>
      <c r="H93" s="13">
        <f>Table1[[#This Row],[Cost Price]]/Table1[[#This Row],[Pcs per Box]]</f>
        <v>3.6</v>
      </c>
      <c r="I93" s="7">
        <v>4</v>
      </c>
      <c r="J93" s="13">
        <f>SUMIF('Stock In'!C:C, Table1[[#This Row],[Medicine ID]], 'Stock In'!E:E) * Table1[[#This Row],[Pcs per Box]]</f>
        <v>300</v>
      </c>
      <c r="K93" s="13">
        <f>SUMIF('Sales Log Table'!C:C, Table1[[#This Row],[Medicine ID]], 'Sales Log Table'!E:E)</f>
        <v>0</v>
      </c>
      <c r="L93" s="13">
        <f>Table1[[#This Row],[Total Received]] - Table1[[#This Row],[Total Sold]]</f>
        <v>300</v>
      </c>
      <c r="M93" s="10"/>
      <c r="N93" s="11">
        <v>46563</v>
      </c>
      <c r="O93" s="12" t="str">
        <f>IF(Table1[[#This Row],[Current Stock]] &lt;= Table1[[#This Row],[Min Stock]], "REORDER NOW", "Good")</f>
        <v>Good</v>
      </c>
      <c r="P93" s="13">
        <f>(Table1[[#This Row],[Unit Price]] - Table1[[#This Row],[Cost Per Pc]]) * Table1[[#This Row],[Total Sold]]</f>
        <v>0</v>
      </c>
      <c r="R93" s="7">
        <f>(Table1[[#This Row],[Total Received]] / Table1[[#This Row],[Pcs per Box]]) * Table1[[#This Row],[Cost Price]]</f>
        <v>1080</v>
      </c>
      <c r="S93" s="31">
        <f>SUM($R$3:Table1[[#This Row],[Annual Consumption Value]]) / SUM(Table1[Annual Consumption Value])</f>
        <v>0.79836589464288477</v>
      </c>
      <c r="T93" s="29" t="str">
        <f>IF(Table1[[#This Row],[Cumulative %]]&lt;=0.8, "A", IF(Table1[[#This Row],[Cumulative %]]&lt;=0.95, "B", "C"))</f>
        <v>A</v>
      </c>
    </row>
    <row r="94" spans="1:20" x14ac:dyDescent="0.35">
      <c r="A94" s="7" t="s">
        <v>241</v>
      </c>
      <c r="B94" s="7" t="s">
        <v>243</v>
      </c>
      <c r="C94" s="7" t="s">
        <v>71</v>
      </c>
      <c r="D94" s="7" t="s">
        <v>56</v>
      </c>
      <c r="E94" s="7" t="s">
        <v>72</v>
      </c>
      <c r="F94" s="13">
        <f>(Table1[[#This Row],[Unit Price]] * 0.9) * Table1[[#This Row],[Pcs per Box]]</f>
        <v>630</v>
      </c>
      <c r="G94" s="7">
        <v>100</v>
      </c>
      <c r="H94" s="7">
        <f>Table1[[#This Row],[Cost Price]]/Table1[[#This Row],[Pcs per Box]]</f>
        <v>6.3</v>
      </c>
      <c r="I94" s="7">
        <v>7</v>
      </c>
      <c r="J94" s="7">
        <f>SUMIF('Stock In'!C:C, Table1[[#This Row],[Medicine ID]], 'Stock In'!E:E) * Table1[[#This Row],[Pcs per Box]]</f>
        <v>100</v>
      </c>
      <c r="K94" s="7">
        <f>SUMIF('Sales Log Table'!C:C, Table1[[#This Row],[Medicine ID]], 'Sales Log Table'!E:E)</f>
        <v>0</v>
      </c>
      <c r="L94" s="7">
        <f>Table1[[#This Row],[Total Received]] - Table1[[#This Row],[Total Sold]]</f>
        <v>100</v>
      </c>
      <c r="M94" s="10">
        <v>20</v>
      </c>
      <c r="N94" s="11">
        <v>46563</v>
      </c>
      <c r="O94" s="12" t="str">
        <f>IF(Table1[[#This Row],[Current Stock]] &lt;= Table1[[#This Row],[Min Stock]], "REORDER NOW", "Good")</f>
        <v>Good</v>
      </c>
      <c r="P94" s="13">
        <f>(Table1[[#This Row],[Unit Price]] - Table1[[#This Row],[Cost Per Pc]]) * Table1[[#This Row],[Total Sold]]</f>
        <v>0</v>
      </c>
      <c r="R94" s="7">
        <f>(Table1[[#This Row],[Total Received]] / Table1[[#This Row],[Pcs per Box]]) * Table1[[#This Row],[Cost Price]]</f>
        <v>630</v>
      </c>
      <c r="S94" s="31">
        <f>SUM($R$3:Table1[[#This Row],[Annual Consumption Value]]) / SUM(Table1[Annual Consumption Value])</f>
        <v>0.8006792743904495</v>
      </c>
      <c r="T94" s="29" t="str">
        <f>IF(Table1[[#This Row],[Cumulative %]]&lt;=0.8, "A", IF(Table1[[#This Row],[Cumulative %]]&lt;=0.95, "B", "C"))</f>
        <v>B</v>
      </c>
    </row>
    <row r="95" spans="1:20" x14ac:dyDescent="0.35">
      <c r="A95" s="7" t="s">
        <v>317</v>
      </c>
      <c r="B95" s="7" t="s">
        <v>286</v>
      </c>
      <c r="C95" s="7" t="s">
        <v>71</v>
      </c>
      <c r="D95" s="7" t="s">
        <v>56</v>
      </c>
      <c r="E95" s="7" t="s">
        <v>72</v>
      </c>
      <c r="F95" s="13">
        <v>369.62</v>
      </c>
      <c r="G95" s="7">
        <v>60</v>
      </c>
      <c r="H95" s="13">
        <f>Table1[[#This Row],[Cost Price]]/Table1[[#This Row],[Pcs per Box]]</f>
        <v>6.160333333333333</v>
      </c>
      <c r="I95" s="7">
        <v>7</v>
      </c>
      <c r="J95" s="13">
        <f>SUMIF('Stock In'!C:C, Table1[[#This Row],[Medicine ID]], 'Stock In'!E:E) * Table1[[#This Row],[Pcs per Box]]</f>
        <v>180</v>
      </c>
      <c r="K95" s="13">
        <f>SUMIF('Sales Log Table'!C:C, Table1[[#This Row],[Medicine ID]], 'Sales Log Table'!E:E)</f>
        <v>0</v>
      </c>
      <c r="L95" s="13">
        <f>Table1[[#This Row],[Total Received]] - Table1[[#This Row],[Total Sold]]</f>
        <v>180</v>
      </c>
      <c r="M95" s="10">
        <v>60</v>
      </c>
      <c r="N95" s="11">
        <v>46563</v>
      </c>
      <c r="O95" s="12" t="str">
        <f>IF(Table1[[#This Row],[Current Stock]] &lt;= Table1[[#This Row],[Min Stock]], "REORDER NOW", "Good")</f>
        <v>Good</v>
      </c>
      <c r="P95" s="13">
        <f>(Table1[[#This Row],[Unit Price]] - Table1[[#This Row],[Cost Per Pc]]) * Table1[[#This Row],[Total Sold]]</f>
        <v>0</v>
      </c>
      <c r="R95" s="7">
        <f>(Table1[[#This Row],[Total Received]] / Table1[[#This Row],[Pcs per Box]]) * Table1[[#This Row],[Cost Price]]</f>
        <v>1108.8600000000001</v>
      </c>
      <c r="S95" s="31">
        <f>SUM($R$3:Table1[[#This Row],[Annual Consumption Value]]) / SUM(Table1[Annual Consumption Value])</f>
        <v>0.80475104306804401</v>
      </c>
      <c r="T95" s="29" t="str">
        <f>IF(Table1[[#This Row],[Cumulative %]]&lt;=0.8, "A", IF(Table1[[#This Row],[Cumulative %]]&lt;=0.95, "B", "C"))</f>
        <v>B</v>
      </c>
    </row>
    <row r="96" spans="1:20" x14ac:dyDescent="0.35">
      <c r="A96" s="7" t="s">
        <v>318</v>
      </c>
      <c r="B96" s="7" t="s">
        <v>287</v>
      </c>
      <c r="C96" s="7" t="s">
        <v>71</v>
      </c>
      <c r="D96" s="7" t="s">
        <v>56</v>
      </c>
      <c r="E96" s="7" t="s">
        <v>72</v>
      </c>
      <c r="F96" s="13">
        <v>352.02</v>
      </c>
      <c r="G96" s="7">
        <v>100</v>
      </c>
      <c r="H96" s="13">
        <f>Table1[[#This Row],[Cost Price]]/Table1[[#This Row],[Pcs per Box]]</f>
        <v>3.5202</v>
      </c>
      <c r="I96" s="7">
        <v>4</v>
      </c>
      <c r="J96" s="13">
        <f>SUMIF('Stock In'!C:C, Table1[[#This Row],[Medicine ID]], 'Stock In'!E:E) * Table1[[#This Row],[Pcs per Box]]</f>
        <v>100</v>
      </c>
      <c r="K96" s="13">
        <f>SUMIF('Sales Log Table'!C:C, Table1[[#This Row],[Medicine ID]], 'Sales Log Table'!E:E)</f>
        <v>0</v>
      </c>
      <c r="L96" s="13">
        <f>Table1[[#This Row],[Total Received]] - Table1[[#This Row],[Total Sold]]</f>
        <v>100</v>
      </c>
      <c r="M96" s="10">
        <v>20</v>
      </c>
      <c r="N96" s="11">
        <v>46563</v>
      </c>
      <c r="O96" s="12" t="str">
        <f>IF(Table1[[#This Row],[Current Stock]] &lt;= Table1[[#This Row],[Min Stock]], "REORDER NOW", "Good")</f>
        <v>Good</v>
      </c>
      <c r="P96" s="13">
        <f>(Table1[[#This Row],[Unit Price]] - Table1[[#This Row],[Cost Per Pc]]) * Table1[[#This Row],[Total Sold]]</f>
        <v>0</v>
      </c>
      <c r="R96" s="7">
        <f>(Table1[[#This Row],[Total Received]] / Table1[[#This Row],[Pcs per Box]]) * Table1[[#This Row],[Cost Price]]</f>
        <v>352.02</v>
      </c>
      <c r="S96" s="31">
        <f>SUM($R$3:Table1[[#This Row],[Annual Consumption Value]]) / SUM(Table1[Annual Consumption Value])</f>
        <v>0.80604367154223089</v>
      </c>
      <c r="T96" s="29" t="str">
        <f>IF(Table1[[#This Row],[Cumulative %]]&lt;=0.8, "A", IF(Table1[[#This Row],[Cumulative %]]&lt;=0.95, "B", "C"))</f>
        <v>B</v>
      </c>
    </row>
    <row r="97" spans="1:20" x14ac:dyDescent="0.35">
      <c r="A97" s="7" t="s">
        <v>150</v>
      </c>
      <c r="B97" s="7" t="s">
        <v>6</v>
      </c>
      <c r="C97" s="7" t="s">
        <v>7</v>
      </c>
      <c r="D97" s="7" t="s">
        <v>56</v>
      </c>
      <c r="E97" s="7" t="s">
        <v>8</v>
      </c>
      <c r="F97" s="7">
        <f>(Table1[[#This Row],[Unit Price]] * 0.9) * Table1[[#This Row],[Pcs per Box]]</f>
        <v>550.80000000000007</v>
      </c>
      <c r="G97" s="7">
        <v>510</v>
      </c>
      <c r="H97" s="7">
        <f>Table1[[#This Row],[Cost Price]]/Table1[[#This Row],[Pcs per Box]]</f>
        <v>1.08</v>
      </c>
      <c r="I97" s="7">
        <v>1.2</v>
      </c>
      <c r="J97" s="7">
        <f>SUMIF('Stock In'!C:C, Table1[[#This Row],[Medicine ID]], 'Stock In'!E:E) * Table1[[#This Row],[Pcs per Box]]</f>
        <v>2040</v>
      </c>
      <c r="K97" s="7">
        <f>SUMIF('Sales Log Table'!C:C, Table1[[#This Row],[Medicine ID]], 'Sales Log Table'!E:E)</f>
        <v>30</v>
      </c>
      <c r="L97" s="7">
        <f>Table1[[#This Row],[Total Received]] - Table1[[#This Row],[Total Sold]]</f>
        <v>2010</v>
      </c>
      <c r="M97" s="10">
        <v>450</v>
      </c>
      <c r="N97" s="11">
        <v>46563</v>
      </c>
      <c r="O97" s="12" t="str">
        <f>IF(Table1[[#This Row],[Current Stock]] &lt;= Table1[[#This Row],[Min Stock]], "REORDER NOW", "Good")</f>
        <v>Good</v>
      </c>
      <c r="P97" s="13">
        <f>(Table1[[#This Row],[Unit Price]] - Table1[[#This Row],[Cost Per Pc]]) * Table1[[#This Row],[Total Sold]]</f>
        <v>3.5999999999999965</v>
      </c>
      <c r="R97" s="7">
        <f>(Table1[[#This Row],[Total Received]] / Table1[[#This Row],[Pcs per Box]]) * Table1[[#This Row],[Cost Price]]</f>
        <v>2203.2000000000003</v>
      </c>
      <c r="S97" s="31">
        <f>SUM($R$3:Table1[[#This Row],[Annual Consumption Value]]) / SUM(Table1[Annual Consumption Value])</f>
        <v>0.81413389100228595</v>
      </c>
      <c r="T97" s="29" t="str">
        <f>IF(Table1[[#This Row],[Cumulative %]]&lt;=0.8, "A", IF(Table1[[#This Row],[Cumulative %]]&lt;=0.95, "B", "C"))</f>
        <v>B</v>
      </c>
    </row>
    <row r="98" spans="1:20" s="14" customFormat="1" x14ac:dyDescent="0.35">
      <c r="A98" s="7" t="s">
        <v>9</v>
      </c>
      <c r="B98" s="7" t="s">
        <v>10</v>
      </c>
      <c r="C98" s="7" t="s">
        <v>11</v>
      </c>
      <c r="D98" s="7" t="s">
        <v>56</v>
      </c>
      <c r="E98" s="7" t="s">
        <v>8</v>
      </c>
      <c r="F98" s="7">
        <f>(Table1[[#This Row],[Unit Price]] * 0.9) * Table1[[#This Row],[Pcs per Box]]</f>
        <v>297</v>
      </c>
      <c r="G98" s="7">
        <v>132</v>
      </c>
      <c r="H98" s="7">
        <f>Table1[[#This Row],[Cost Price]]/Table1[[#This Row],[Pcs per Box]]</f>
        <v>2.25</v>
      </c>
      <c r="I98" s="7">
        <v>2.5</v>
      </c>
      <c r="J98" s="7">
        <f>SUMIF('Stock In'!C:C, Table1[[#This Row],[Medicine ID]], 'Stock In'!E:E) * Table1[[#This Row],[Pcs per Box]]</f>
        <v>264</v>
      </c>
      <c r="K98" s="7">
        <f>SUMIF('Sales Log Table'!C:C, Table1[[#This Row],[Medicine ID]], 'Sales Log Table'!E:E)</f>
        <v>10</v>
      </c>
      <c r="L98" s="7">
        <f>Table1[[#This Row],[Total Received]] - Table1[[#This Row],[Total Sold]]</f>
        <v>254</v>
      </c>
      <c r="M98" s="10">
        <v>60</v>
      </c>
      <c r="N98" s="11">
        <v>46563</v>
      </c>
      <c r="O98" s="12" t="str">
        <f>IF(Table1[[#This Row],[Current Stock]] &lt;= Table1[[#This Row],[Min Stock]], "REORDER NOW", "Good")</f>
        <v>Good</v>
      </c>
      <c r="P98" s="13">
        <f>(Table1[[#This Row],[Unit Price]] - Table1[[#This Row],[Cost Per Pc]]) * Table1[[#This Row],[Total Sold]]</f>
        <v>2.5</v>
      </c>
      <c r="Q98" s="7"/>
      <c r="R98" s="7">
        <f>(Table1[[#This Row],[Total Received]] / Table1[[#This Row],[Pcs per Box]]) * Table1[[#This Row],[Cost Price]]</f>
        <v>594</v>
      </c>
      <c r="S98" s="31">
        <f>SUM($R$3:Table1[[#This Row],[Annual Consumption Value]]) / SUM(Table1[Annual Consumption Value])</f>
        <v>0.81631507762141842</v>
      </c>
      <c r="T98" s="29" t="str">
        <f>IF(Table1[[#This Row],[Cumulative %]]&lt;=0.8, "A", IF(Table1[[#This Row],[Cumulative %]]&lt;=0.95, "B", "C"))</f>
        <v>B</v>
      </c>
    </row>
    <row r="99" spans="1:20" s="14" customFormat="1" x14ac:dyDescent="0.35">
      <c r="A99" s="7" t="s">
        <v>13</v>
      </c>
      <c r="B99" s="7" t="s">
        <v>17</v>
      </c>
      <c r="C99" s="7" t="s">
        <v>7</v>
      </c>
      <c r="D99" s="7" t="s">
        <v>56</v>
      </c>
      <c r="E99" s="7" t="s">
        <v>18</v>
      </c>
      <c r="F99" s="7">
        <f>(Table1[[#This Row],[Unit Price]] * 0.9) * Table1[[#This Row],[Pcs per Box]]</f>
        <v>315.90000000000003</v>
      </c>
      <c r="G99" s="7">
        <v>270</v>
      </c>
      <c r="H99" s="7">
        <f>Table1[[#This Row],[Cost Price]]/Table1[[#This Row],[Pcs per Box]]</f>
        <v>1.1700000000000002</v>
      </c>
      <c r="I99" s="7">
        <v>1.3</v>
      </c>
      <c r="J99" s="7">
        <f>SUMIF('Stock In'!C:C, Table1[[#This Row],[Medicine ID]], 'Stock In'!E:E) * Table1[[#This Row],[Pcs per Box]]</f>
        <v>1080</v>
      </c>
      <c r="K99" s="7">
        <f>SUMIF('Sales Log Table'!C:C, Table1[[#This Row],[Medicine ID]], 'Sales Log Table'!E:E)</f>
        <v>0</v>
      </c>
      <c r="L99" s="7">
        <f>Table1[[#This Row],[Total Received]] - Table1[[#This Row],[Total Sold]]</f>
        <v>1080</v>
      </c>
      <c r="M99" s="10">
        <v>200</v>
      </c>
      <c r="N99" s="11">
        <v>46563</v>
      </c>
      <c r="O99" s="12" t="str">
        <f>IF(Table1[[#This Row],[Current Stock]] &lt;= Table1[[#This Row],[Min Stock]], "REORDER NOW", "Good")</f>
        <v>Good</v>
      </c>
      <c r="P99" s="13">
        <f>(Table1[[#This Row],[Unit Price]] - Table1[[#This Row],[Cost Per Pc]]) * Table1[[#This Row],[Total Sold]]</f>
        <v>0</v>
      </c>
      <c r="Q99" s="7"/>
      <c r="R99" s="7">
        <f>(Table1[[#This Row],[Total Received]] / Table1[[#This Row],[Pcs per Box]]) * Table1[[#This Row],[Cost Price]]</f>
        <v>1263.6000000000001</v>
      </c>
      <c r="S99" s="31">
        <f>SUM($R$3:Table1[[#This Row],[Annual Consumption Value]]) / SUM(Table1[Annual Consumption Value])</f>
        <v>0.82095505642939115</v>
      </c>
      <c r="T99" s="29" t="str">
        <f>IF(Table1[[#This Row],[Cumulative %]]&lt;=0.8, "A", IF(Table1[[#This Row],[Cumulative %]]&lt;=0.95, "B", "C"))</f>
        <v>B</v>
      </c>
    </row>
    <row r="100" spans="1:20" x14ac:dyDescent="0.35">
      <c r="A100" s="7" t="s">
        <v>14</v>
      </c>
      <c r="B100" s="7" t="s">
        <v>19</v>
      </c>
      <c r="C100" s="7" t="s">
        <v>7</v>
      </c>
      <c r="D100" s="7" t="s">
        <v>56</v>
      </c>
      <c r="E100" s="7" t="s">
        <v>12</v>
      </c>
      <c r="F100" s="7">
        <f>(Table1[[#This Row],[Unit Price]] * 0.9) * Table1[[#This Row],[Pcs per Box]]</f>
        <v>259.2</v>
      </c>
      <c r="G100" s="7">
        <v>144</v>
      </c>
      <c r="H100" s="7">
        <f>Table1[[#This Row],[Cost Price]]/Table1[[#This Row],[Pcs per Box]]</f>
        <v>1.7999999999999998</v>
      </c>
      <c r="I100" s="7">
        <v>2</v>
      </c>
      <c r="J100" s="7">
        <f>SUMIF('Stock In'!C:C, Table1[[#This Row],[Medicine ID]], 'Stock In'!E:E) * Table1[[#This Row],[Pcs per Box]]</f>
        <v>864</v>
      </c>
      <c r="K100" s="7">
        <f>SUMIF('Sales Log Table'!C:C, Table1[[#This Row],[Medicine ID]], 'Sales Log Table'!E:E)</f>
        <v>0</v>
      </c>
      <c r="L100" s="7">
        <f>Table1[[#This Row],[Total Received]] - Table1[[#This Row],[Total Sold]]</f>
        <v>864</v>
      </c>
      <c r="M100" s="10">
        <v>700</v>
      </c>
      <c r="N100" s="11">
        <v>46563</v>
      </c>
      <c r="O100" s="12" t="str">
        <f>IF(Table1[[#This Row],[Current Stock]] &lt;= Table1[[#This Row],[Min Stock]], "REORDER NOW", "Good")</f>
        <v>Good</v>
      </c>
      <c r="P100" s="13">
        <f>(Table1[[#This Row],[Unit Price]] - Table1[[#This Row],[Cost Per Pc]]) * Table1[[#This Row],[Total Sold]]</f>
        <v>0</v>
      </c>
      <c r="R100" s="7">
        <f>(Table1[[#This Row],[Total Received]] / Table1[[#This Row],[Pcs per Box]]) * Table1[[#This Row],[Cost Price]]</f>
        <v>1555.1999999999998</v>
      </c>
      <c r="S100" s="31">
        <f>SUM($R$3:Table1[[#This Row],[Annual Consumption Value]]) / SUM(Table1[Annual Consumption Value])</f>
        <v>0.82666579957766528</v>
      </c>
      <c r="T100" s="29" t="str">
        <f>IF(Table1[[#This Row],[Cumulative %]]&lt;=0.8, "A", IF(Table1[[#This Row],[Cumulative %]]&lt;=0.95, "B", "C"))</f>
        <v>B</v>
      </c>
    </row>
    <row r="101" spans="1:20" s="14" customFormat="1" x14ac:dyDescent="0.35">
      <c r="A101" s="7" t="s">
        <v>15</v>
      </c>
      <c r="B101" s="7" t="s">
        <v>20</v>
      </c>
      <c r="C101" s="7" t="s">
        <v>7</v>
      </c>
      <c r="D101" s="7" t="s">
        <v>56</v>
      </c>
      <c r="E101" s="7" t="s">
        <v>21</v>
      </c>
      <c r="F101" s="7">
        <f>(Table1[[#This Row],[Unit Price]] * 0.9) * Table1[[#This Row],[Pcs per Box]]</f>
        <v>405</v>
      </c>
      <c r="G101" s="7">
        <v>200</v>
      </c>
      <c r="H101" s="7">
        <f>Table1[[#This Row],[Cost Price]]/Table1[[#This Row],[Pcs per Box]]</f>
        <v>2.0249999999999999</v>
      </c>
      <c r="I101" s="7">
        <v>2.25</v>
      </c>
      <c r="J101" s="7">
        <f>SUMIF('Stock In'!C:C, Table1[[#This Row],[Medicine ID]], 'Stock In'!E:E) * Table1[[#This Row],[Pcs per Box]]</f>
        <v>800</v>
      </c>
      <c r="K101" s="7">
        <f>SUMIF('Sales Log Table'!C:C, Table1[[#This Row],[Medicine ID]], 'Sales Log Table'!E:E)</f>
        <v>0</v>
      </c>
      <c r="L101" s="7">
        <f>Table1[[#This Row],[Total Received]] - Table1[[#This Row],[Total Sold]]</f>
        <v>800</v>
      </c>
      <c r="M101" s="10">
        <v>650</v>
      </c>
      <c r="N101" s="11">
        <v>46563</v>
      </c>
      <c r="O101" s="12" t="str">
        <f>IF(Table1[[#This Row],[Current Stock]] &lt;= Table1[[#This Row],[Min Stock]], "REORDER NOW", "Good")</f>
        <v>Good</v>
      </c>
      <c r="P101" s="13">
        <f>(Table1[[#This Row],[Unit Price]] - Table1[[#This Row],[Cost Per Pc]]) * Table1[[#This Row],[Total Sold]]</f>
        <v>0</v>
      </c>
      <c r="Q101" s="7"/>
      <c r="R101" s="7">
        <f>(Table1[[#This Row],[Total Received]] / Table1[[#This Row],[Pcs per Box]]) * Table1[[#This Row],[Cost Price]]</f>
        <v>1620</v>
      </c>
      <c r="S101" s="31">
        <f>SUM($R$3:Table1[[#This Row],[Annual Consumption Value]]) / SUM(Table1[Annual Consumption Value])</f>
        <v>0.83261449035711743</v>
      </c>
      <c r="T101" s="29" t="str">
        <f>IF(Table1[[#This Row],[Cumulative %]]&lt;=0.8, "A", IF(Table1[[#This Row],[Cumulative %]]&lt;=0.95, "B", "C"))</f>
        <v>B</v>
      </c>
    </row>
    <row r="102" spans="1:20" x14ac:dyDescent="0.35">
      <c r="A102" s="7" t="s">
        <v>16</v>
      </c>
      <c r="B102" s="7" t="s">
        <v>22</v>
      </c>
      <c r="C102" s="7" t="s">
        <v>7</v>
      </c>
      <c r="D102" s="7" t="s">
        <v>56</v>
      </c>
      <c r="E102" s="7" t="s">
        <v>8</v>
      </c>
      <c r="F102" s="7">
        <f>(Table1[[#This Row],[Unit Price]] * 0.9) * Table1[[#This Row],[Pcs per Box]]</f>
        <v>270</v>
      </c>
      <c r="G102" s="7">
        <v>250</v>
      </c>
      <c r="H102" s="7">
        <f>Table1[[#This Row],[Cost Price]]/Table1[[#This Row],[Pcs per Box]]</f>
        <v>1.08</v>
      </c>
      <c r="I102" s="7">
        <v>1.2</v>
      </c>
      <c r="J102" s="7">
        <f>SUMIF('Stock In'!C:C, Table1[[#This Row],[Medicine ID]], 'Stock In'!E:E) * Table1[[#This Row],[Pcs per Box]]</f>
        <v>750</v>
      </c>
      <c r="K102" s="7">
        <f>SUMIF('Sales Log Table'!C:C, Table1[[#This Row],[Medicine ID]], 'Sales Log Table'!E:E)</f>
        <v>0</v>
      </c>
      <c r="L102" s="7">
        <f>Table1[[#This Row],[Total Received]] - Table1[[#This Row],[Total Sold]]</f>
        <v>750</v>
      </c>
      <c r="M102" s="10">
        <v>100</v>
      </c>
      <c r="N102" s="11">
        <v>46563</v>
      </c>
      <c r="O102" s="12" t="str">
        <f>IF(Table1[[#This Row],[Current Stock]] &lt;= Table1[[#This Row],[Min Stock]], "REORDER NOW", "Good")</f>
        <v>Good</v>
      </c>
      <c r="P102" s="13">
        <f>(Table1[[#This Row],[Unit Price]] - Table1[[#This Row],[Cost Per Pc]]) * Table1[[#This Row],[Total Sold]]</f>
        <v>0</v>
      </c>
      <c r="R102" s="7">
        <f>(Table1[[#This Row],[Total Received]] / Table1[[#This Row],[Pcs per Box]]) * Table1[[#This Row],[Cost Price]]</f>
        <v>810</v>
      </c>
      <c r="S102" s="31">
        <f>SUM($R$3:Table1[[#This Row],[Annual Consumption Value]]) / SUM(Table1[Annual Consumption Value])</f>
        <v>0.83558883574684351</v>
      </c>
      <c r="T102" s="29" t="str">
        <f>IF(Table1[[#This Row],[Cumulative %]]&lt;=0.8, "A", IF(Table1[[#This Row],[Cumulative %]]&lt;=0.95, "B", "C"))</f>
        <v>B</v>
      </c>
    </row>
    <row r="103" spans="1:20" x14ac:dyDescent="0.35">
      <c r="A103" s="7" t="s">
        <v>23</v>
      </c>
      <c r="B103" s="7" t="s">
        <v>25</v>
      </c>
      <c r="C103" s="7" t="s">
        <v>7</v>
      </c>
      <c r="D103" s="7" t="s">
        <v>56</v>
      </c>
      <c r="E103" s="7" t="s">
        <v>8</v>
      </c>
      <c r="F103" s="7">
        <f>(Table1[[#This Row],[Unit Price]] * 0.9) * Table1[[#This Row],[Pcs per Box]]</f>
        <v>360</v>
      </c>
      <c r="G103" s="7">
        <v>200</v>
      </c>
      <c r="H103" s="7">
        <f>Table1[[#This Row],[Cost Price]]/Table1[[#This Row],[Pcs per Box]]</f>
        <v>1.8</v>
      </c>
      <c r="I103" s="7">
        <v>2</v>
      </c>
      <c r="J103" s="7">
        <f>SUMIF('Stock In'!C:C, Table1[[#This Row],[Medicine ID]], 'Stock In'!E:E) * Table1[[#This Row],[Pcs per Box]]</f>
        <v>1400</v>
      </c>
      <c r="K103" s="7">
        <f>SUMIF('Sales Log Table'!C:C, Table1[[#This Row],[Medicine ID]], 'Sales Log Table'!E:E)</f>
        <v>0</v>
      </c>
      <c r="L103" s="7">
        <f>Table1[[#This Row],[Total Received]] - Table1[[#This Row],[Total Sold]]</f>
        <v>1400</v>
      </c>
      <c r="M103" s="10">
        <v>900</v>
      </c>
      <c r="N103" s="11">
        <v>46563</v>
      </c>
      <c r="O103" s="12" t="str">
        <f>IF(Table1[[#This Row],[Current Stock]] &lt;= Table1[[#This Row],[Min Stock]], "REORDER NOW", "Good")</f>
        <v>Good</v>
      </c>
      <c r="P103" s="13">
        <f>(Table1[[#This Row],[Unit Price]] - Table1[[#This Row],[Cost Per Pc]]) * Table1[[#This Row],[Total Sold]]</f>
        <v>0</v>
      </c>
      <c r="R103" s="7">
        <f>(Table1[[#This Row],[Total Received]] / Table1[[#This Row],[Pcs per Box]]) * Table1[[#This Row],[Cost Price]]</f>
        <v>2520</v>
      </c>
      <c r="S103" s="31">
        <f>SUM($R$3:Table1[[#This Row],[Annual Consumption Value]]) / SUM(Table1[Annual Consumption Value])</f>
        <v>0.84484235473710245</v>
      </c>
      <c r="T103" s="29" t="str">
        <f>IF(Table1[[#This Row],[Cumulative %]]&lt;=0.8, "A", IF(Table1[[#This Row],[Cumulative %]]&lt;=0.95, "B", "C"))</f>
        <v>B</v>
      </c>
    </row>
    <row r="104" spans="1:20" x14ac:dyDescent="0.35">
      <c r="A104" s="7" t="s">
        <v>24</v>
      </c>
      <c r="B104" s="7" t="s">
        <v>26</v>
      </c>
      <c r="C104" s="7" t="s">
        <v>7</v>
      </c>
      <c r="D104" s="7" t="s">
        <v>56</v>
      </c>
      <c r="E104" s="7" t="s">
        <v>8</v>
      </c>
      <c r="F104" s="7">
        <f>(Table1[[#This Row],[Unit Price]] * 0.9) * Table1[[#This Row],[Pcs per Box]]</f>
        <v>540</v>
      </c>
      <c r="G104" s="7">
        <v>500</v>
      </c>
      <c r="H104" s="7">
        <f>Table1[[#This Row],[Cost Price]]/Table1[[#This Row],[Pcs per Box]]</f>
        <v>1.08</v>
      </c>
      <c r="I104" s="7">
        <v>1.2</v>
      </c>
      <c r="J104" s="7">
        <f>SUMIF('Stock In'!C:C, Table1[[#This Row],[Medicine ID]], 'Stock In'!E:E) * Table1[[#This Row],[Pcs per Box]]</f>
        <v>4000</v>
      </c>
      <c r="K104" s="7">
        <f>SUMIF('Sales Log Table'!C:C, Table1[[#This Row],[Medicine ID]], 'Sales Log Table'!E:E)</f>
        <v>0</v>
      </c>
      <c r="L104" s="7">
        <f>Table1[[#This Row],[Total Received]] - Table1[[#This Row],[Total Sold]]</f>
        <v>4000</v>
      </c>
      <c r="M104" s="10">
        <v>300</v>
      </c>
      <c r="N104" s="11">
        <v>46563</v>
      </c>
      <c r="O104" s="12" t="str">
        <f>IF(Table1[[#This Row],[Current Stock]] &lt;= Table1[[#This Row],[Min Stock]], "REORDER NOW", "Good")</f>
        <v>Good</v>
      </c>
      <c r="P104" s="13">
        <f>(Table1[[#This Row],[Unit Price]] - Table1[[#This Row],[Cost Per Pc]]) * Table1[[#This Row],[Total Sold]]</f>
        <v>0</v>
      </c>
      <c r="R104" s="7">
        <f>(Table1[[#This Row],[Total Received]] / Table1[[#This Row],[Pcs per Box]]) * Table1[[#This Row],[Cost Price]]</f>
        <v>4320</v>
      </c>
      <c r="S104" s="31">
        <f>SUM($R$3:Table1[[#This Row],[Annual Consumption Value]]) / SUM(Table1[Annual Consumption Value])</f>
        <v>0.86070553014897488</v>
      </c>
      <c r="T104" s="29" t="str">
        <f>IF(Table1[[#This Row],[Cumulative %]]&lt;=0.8, "A", IF(Table1[[#This Row],[Cumulative %]]&lt;=0.95, "B", "C"))</f>
        <v>B</v>
      </c>
    </row>
    <row r="105" spans="1:20" x14ac:dyDescent="0.35">
      <c r="A105" s="18" t="s">
        <v>29</v>
      </c>
      <c r="B105" s="19" t="s">
        <v>27</v>
      </c>
      <c r="C105" s="19" t="s">
        <v>11</v>
      </c>
      <c r="D105" s="19" t="s">
        <v>56</v>
      </c>
      <c r="E105" s="19" t="s">
        <v>12</v>
      </c>
      <c r="F105" s="19">
        <f>(Table1[[#This Row],[Unit Price]] * 0.9) * Table1[[#This Row],[Pcs per Box]]</f>
        <v>451.79999999999995</v>
      </c>
      <c r="G105" s="19">
        <v>200</v>
      </c>
      <c r="H105" s="19">
        <f>Table1[[#This Row],[Cost Price]]/Table1[[#This Row],[Pcs per Box]]</f>
        <v>2.2589999999999999</v>
      </c>
      <c r="I105" s="19">
        <v>2.5099999999999998</v>
      </c>
      <c r="J105" s="19">
        <f>SUMIF('Stock In'!C:C, Table1[[#This Row],[Medicine ID]], 'Stock In'!E:E) * Table1[[#This Row],[Pcs per Box]]</f>
        <v>600</v>
      </c>
      <c r="K105" s="19">
        <f>SUMIF('Sales Log Table'!C:C, Table1[[#This Row],[Medicine ID]], 'Sales Log Table'!E:E)</f>
        <v>0</v>
      </c>
      <c r="L105" s="19">
        <f>Table1[[#This Row],[Total Received]] - Table1[[#This Row],[Total Sold]]</f>
        <v>600</v>
      </c>
      <c r="M105" s="21">
        <v>340</v>
      </c>
      <c r="N105" s="22">
        <v>46563</v>
      </c>
      <c r="O105" s="23" t="str">
        <f>IF(Table1[[#This Row],[Current Stock]] &lt;= Table1[[#This Row],[Min Stock]], "REORDER NOW", "Good")</f>
        <v>Good</v>
      </c>
      <c r="P105" s="24">
        <f>(Table1[[#This Row],[Unit Price]] - Table1[[#This Row],[Cost Per Pc]]) * Table1[[#This Row],[Total Sold]]</f>
        <v>0</v>
      </c>
      <c r="R105" s="7">
        <f>(Table1[[#This Row],[Total Received]] / Table1[[#This Row],[Pcs per Box]]) * Table1[[#This Row],[Cost Price]]</f>
        <v>1355.3999999999999</v>
      </c>
      <c r="S105" s="31">
        <f>SUM($R$3:Table1[[#This Row],[Annual Consumption Value]]) / SUM(Table1[Annual Consumption Value])</f>
        <v>0.86568260143444986</v>
      </c>
      <c r="T105" s="29" t="str">
        <f>IF(Table1[[#This Row],[Cumulative %]]&lt;=0.8, "A", IF(Table1[[#This Row],[Cumulative %]]&lt;=0.95, "B", "C"))</f>
        <v>B</v>
      </c>
    </row>
    <row r="106" spans="1:20" x14ac:dyDescent="0.35">
      <c r="A106" s="18" t="s">
        <v>30</v>
      </c>
      <c r="B106" s="19" t="s">
        <v>28</v>
      </c>
      <c r="C106" s="19" t="s">
        <v>7</v>
      </c>
      <c r="D106" s="19" t="s">
        <v>56</v>
      </c>
      <c r="E106" s="19" t="s">
        <v>8</v>
      </c>
      <c r="F106" s="19">
        <f>(Table1[[#This Row],[Unit Price]] * 0.9) * Table1[[#This Row],[Pcs per Box]]</f>
        <v>405</v>
      </c>
      <c r="G106" s="19">
        <v>200</v>
      </c>
      <c r="H106" s="19">
        <f>Table1[[#This Row],[Cost Price]]/Table1[[#This Row],[Pcs per Box]]</f>
        <v>2.0249999999999999</v>
      </c>
      <c r="I106" s="19">
        <v>2.25</v>
      </c>
      <c r="J106" s="19">
        <f>SUMIF('Stock In'!C:C, Table1[[#This Row],[Medicine ID]], 'Stock In'!E:E) * Table1[[#This Row],[Pcs per Box]]</f>
        <v>200</v>
      </c>
      <c r="K106" s="19">
        <f>SUMIF('Sales Log Table'!C:C, Table1[[#This Row],[Medicine ID]], 'Sales Log Table'!E:E)</f>
        <v>0</v>
      </c>
      <c r="L106" s="19">
        <f>Table1[[#This Row],[Total Received]] - Table1[[#This Row],[Total Sold]]</f>
        <v>200</v>
      </c>
      <c r="M106" s="21">
        <v>50</v>
      </c>
      <c r="N106" s="22">
        <v>46563</v>
      </c>
      <c r="O106" s="23" t="str">
        <f>IF(Table1[[#This Row],[Current Stock]] &lt;= Table1[[#This Row],[Min Stock]], "REORDER NOW", "Good")</f>
        <v>Good</v>
      </c>
      <c r="P106" s="24">
        <f>(Table1[[#This Row],[Unit Price]] - Table1[[#This Row],[Cost Per Pc]]) * Table1[[#This Row],[Total Sold]]</f>
        <v>0</v>
      </c>
      <c r="R106" s="7">
        <f>(Table1[[#This Row],[Total Received]] / Table1[[#This Row],[Pcs per Box]]) * Table1[[#This Row],[Cost Price]]</f>
        <v>405</v>
      </c>
      <c r="S106" s="31">
        <f>SUM($R$3:Table1[[#This Row],[Annual Consumption Value]]) / SUM(Table1[Annual Consumption Value])</f>
        <v>0.86716977412931295</v>
      </c>
      <c r="T106" s="29" t="str">
        <f>IF(Table1[[#This Row],[Cumulative %]]&lt;=0.8, "A", IF(Table1[[#This Row],[Cumulative %]]&lt;=0.95, "B", "C"))</f>
        <v>B</v>
      </c>
    </row>
    <row r="107" spans="1:20" x14ac:dyDescent="0.35">
      <c r="A107" s="18" t="s">
        <v>303</v>
      </c>
      <c r="B107" s="19" t="s">
        <v>260</v>
      </c>
      <c r="C107" s="19" t="s">
        <v>261</v>
      </c>
      <c r="D107" s="40" t="s">
        <v>56</v>
      </c>
      <c r="E107" s="19" t="s">
        <v>419</v>
      </c>
      <c r="F107" s="20">
        <v>369.63</v>
      </c>
      <c r="G107" s="19">
        <v>30</v>
      </c>
      <c r="H107" s="20">
        <f>Table1[[#This Row],[Cost Price]]/Table1[[#This Row],[Pcs per Box]]</f>
        <v>12.321</v>
      </c>
      <c r="I107" s="19">
        <v>14</v>
      </c>
      <c r="J107" s="20">
        <f>SUMIF('Stock In'!C:C, Table1[[#This Row],[Medicine ID]], 'Stock In'!E:E) * Table1[[#This Row],[Pcs per Box]]</f>
        <v>450</v>
      </c>
      <c r="K107" s="20">
        <f>SUMIF('Sales Log Table'!C:C, Table1[[#This Row],[Medicine ID]], 'Sales Log Table'!E:E)</f>
        <v>0</v>
      </c>
      <c r="L107" s="20">
        <f>Table1[[#This Row],[Total Received]] - Table1[[#This Row],[Total Sold]]</f>
        <v>450</v>
      </c>
      <c r="M107" s="21">
        <v>30</v>
      </c>
      <c r="N107" s="22">
        <v>46563</v>
      </c>
      <c r="O107" s="23" t="str">
        <f>IF(Table1[[#This Row],[Current Stock]] &lt;= Table1[[#This Row],[Min Stock]], "REORDER NOW", "Good")</f>
        <v>Good</v>
      </c>
      <c r="P107" s="24">
        <f>(Table1[[#This Row],[Unit Price]] - Table1[[#This Row],[Cost Per Pc]]) * Table1[[#This Row],[Total Sold]]</f>
        <v>0</v>
      </c>
      <c r="R107" s="7">
        <f>(Table1[[#This Row],[Total Received]] / Table1[[#This Row],[Pcs per Box]]) * Table1[[#This Row],[Cost Price]]</f>
        <v>5544.45</v>
      </c>
      <c r="S107" s="31">
        <f>SUM($R$3:Table1[[#This Row],[Annual Consumption Value]]) / SUM(Table1[Annual Consumption Value])</f>
        <v>0.88752916832198803</v>
      </c>
      <c r="T107" s="29" t="str">
        <f>IF(Table1[[#This Row],[Cumulative %]]&lt;=0.8, "A", IF(Table1[[#This Row],[Cumulative %]]&lt;=0.95, "B", "C"))</f>
        <v>B</v>
      </c>
    </row>
    <row r="108" spans="1:20" x14ac:dyDescent="0.35">
      <c r="A108" s="18" t="s">
        <v>304</v>
      </c>
      <c r="B108" s="19" t="s">
        <v>262</v>
      </c>
      <c r="C108" s="19" t="s">
        <v>261</v>
      </c>
      <c r="D108" s="40" t="s">
        <v>56</v>
      </c>
      <c r="E108" s="19" t="s">
        <v>419</v>
      </c>
      <c r="F108" s="20">
        <v>316.83999999999997</v>
      </c>
      <c r="G108" s="19">
        <v>30</v>
      </c>
      <c r="H108" s="20">
        <f>Table1[[#This Row],[Cost Price]]/Table1[[#This Row],[Pcs per Box]]</f>
        <v>10.561333333333332</v>
      </c>
      <c r="I108" s="19">
        <v>12</v>
      </c>
      <c r="J108" s="20">
        <f>SUMIF('Stock In'!C:C, Table1[[#This Row],[Medicine ID]], 'Stock In'!E:E) * Table1[[#This Row],[Pcs per Box]]</f>
        <v>300</v>
      </c>
      <c r="K108" s="20">
        <f>SUMIF('Sales Log Table'!C:C, Table1[[#This Row],[Medicine ID]], 'Sales Log Table'!E:E)</f>
        <v>0</v>
      </c>
      <c r="L108" s="20">
        <f>Table1[[#This Row],[Total Received]] - Table1[[#This Row],[Total Sold]]</f>
        <v>300</v>
      </c>
      <c r="M108" s="21">
        <v>30</v>
      </c>
      <c r="N108" s="22">
        <v>46563</v>
      </c>
      <c r="O108" s="23" t="str">
        <f>IF(Table1[[#This Row],[Current Stock]] &lt;= Table1[[#This Row],[Min Stock]], "REORDER NOW", "Good")</f>
        <v>Good</v>
      </c>
      <c r="P108" s="24">
        <f>(Table1[[#This Row],[Unit Price]] - Table1[[#This Row],[Cost Per Pc]]) * Table1[[#This Row],[Total Sold]]</f>
        <v>0</v>
      </c>
      <c r="R108" s="7">
        <f>(Table1[[#This Row],[Total Received]] / Table1[[#This Row],[Pcs per Box]]) * Table1[[#This Row],[Cost Price]]</f>
        <v>3168.3999999999996</v>
      </c>
      <c r="S108" s="31">
        <f>SUM($R$3:Table1[[#This Row],[Annual Consumption Value]]) / SUM(Table1[Annual Consumption Value])</f>
        <v>0.89916363243656594</v>
      </c>
      <c r="T108" s="29" t="str">
        <f>IF(Table1[[#This Row],[Cumulative %]]&lt;=0.8, "A", IF(Table1[[#This Row],[Cumulative %]]&lt;=0.95, "B", "C"))</f>
        <v>B</v>
      </c>
    </row>
    <row r="109" spans="1:20" x14ac:dyDescent="0.35">
      <c r="A109" s="18" t="s">
        <v>309</v>
      </c>
      <c r="B109" s="19" t="s">
        <v>268</v>
      </c>
      <c r="C109" s="19" t="s">
        <v>396</v>
      </c>
      <c r="D109" s="19" t="s">
        <v>56</v>
      </c>
      <c r="E109" s="19" t="s">
        <v>397</v>
      </c>
      <c r="F109" s="20">
        <v>316.83</v>
      </c>
      <c r="G109" s="19">
        <v>30</v>
      </c>
      <c r="H109" s="20">
        <f>Table1[[#This Row],[Cost Price]]/Table1[[#This Row],[Pcs per Box]]</f>
        <v>10.561</v>
      </c>
      <c r="I109" s="19">
        <v>12</v>
      </c>
      <c r="J109" s="20">
        <f>SUMIF('Stock In'!C:C, Table1[[#This Row],[Medicine ID]], 'Stock In'!E:E) * Table1[[#This Row],[Pcs per Box]]</f>
        <v>30</v>
      </c>
      <c r="K109" s="20">
        <f>SUMIF('Sales Log Table'!C:C, Table1[[#This Row],[Medicine ID]], 'Sales Log Table'!E:E)</f>
        <v>0</v>
      </c>
      <c r="L109" s="20">
        <f>Table1[[#This Row],[Total Received]] - Table1[[#This Row],[Total Sold]]</f>
        <v>30</v>
      </c>
      <c r="M109" s="21">
        <v>5</v>
      </c>
      <c r="N109" s="22">
        <v>46563</v>
      </c>
      <c r="O109" s="23" t="str">
        <f>IF(Table1[[#This Row],[Current Stock]] &lt;= Table1[[#This Row],[Min Stock]], "REORDER NOW", "Good")</f>
        <v>Good</v>
      </c>
      <c r="P109" s="24">
        <f>(Table1[[#This Row],[Unit Price]] - Table1[[#This Row],[Cost Per Pc]]) * Table1[[#This Row],[Total Sold]]</f>
        <v>0</v>
      </c>
      <c r="R109" s="7">
        <f>(Table1[[#This Row],[Total Received]] / Table1[[#This Row],[Pcs per Box]]) * Table1[[#This Row],[Cost Price]]</f>
        <v>316.83</v>
      </c>
      <c r="S109" s="31">
        <f>SUM($R$3:Table1[[#This Row],[Annual Consumption Value]]) / SUM(Table1[Annual Consumption Value])</f>
        <v>0.90032704212771031</v>
      </c>
      <c r="T109" s="29" t="str">
        <f>IF(Table1[[#This Row],[Cumulative %]]&lt;=0.8, "A", IF(Table1[[#This Row],[Cumulative %]]&lt;=0.95, "B", "C"))</f>
        <v>B</v>
      </c>
    </row>
    <row r="110" spans="1:20" x14ac:dyDescent="0.35">
      <c r="A110" s="18" t="s">
        <v>313</v>
      </c>
      <c r="B110" s="19" t="s">
        <v>269</v>
      </c>
      <c r="C110" s="19" t="s">
        <v>398</v>
      </c>
      <c r="D110" s="19" t="s">
        <v>56</v>
      </c>
      <c r="E110" s="19" t="s">
        <v>399</v>
      </c>
      <c r="F110" s="20">
        <v>264.02</v>
      </c>
      <c r="G110" s="19">
        <v>30</v>
      </c>
      <c r="H110" s="20">
        <f>Table1[[#This Row],[Cost Price]]/Table1[[#This Row],[Pcs per Box]]</f>
        <v>8.8006666666666664</v>
      </c>
      <c r="I110" s="19">
        <v>10</v>
      </c>
      <c r="J110" s="20">
        <f>SUMIF('Stock In'!C:C, Table1[[#This Row],[Medicine ID]], 'Stock In'!E:E) * Table1[[#This Row],[Pcs per Box]]</f>
        <v>360</v>
      </c>
      <c r="K110" s="20">
        <f>SUMIF('Sales Log Table'!C:C, Table1[[#This Row],[Medicine ID]], 'Sales Log Table'!E:E)</f>
        <v>0</v>
      </c>
      <c r="L110" s="20">
        <f>Table1[[#This Row],[Total Received]] - Table1[[#This Row],[Total Sold]]</f>
        <v>360</v>
      </c>
      <c r="M110" s="21">
        <v>30</v>
      </c>
      <c r="N110" s="22">
        <v>46563</v>
      </c>
      <c r="O110" s="23" t="str">
        <f>IF(Table1[[#This Row],[Current Stock]] &lt;= Table1[[#This Row],[Min Stock]], "REORDER NOW", "Good")</f>
        <v>Good</v>
      </c>
      <c r="P110" s="24">
        <f>(Table1[[#This Row],[Unit Price]] - Table1[[#This Row],[Cost Per Pc]]) * Table1[[#This Row],[Total Sold]]</f>
        <v>0</v>
      </c>
      <c r="R110" s="7">
        <f>(Table1[[#This Row],[Total Received]] / Table1[[#This Row],[Pcs per Box]]) * Table1[[#This Row],[Cost Price]]</f>
        <v>3168.24</v>
      </c>
      <c r="S110" s="31">
        <f>SUM($R$3:Table1[[#This Row],[Annual Consumption Value]]) / SUM(Table1[Annual Consumption Value])</f>
        <v>0.91196091871727292</v>
      </c>
      <c r="T110" s="29" t="str">
        <f>IF(Table1[[#This Row],[Cumulative %]]&lt;=0.8, "A", IF(Table1[[#This Row],[Cumulative %]]&lt;=0.95, "B", "C"))</f>
        <v>B</v>
      </c>
    </row>
    <row r="111" spans="1:20" x14ac:dyDescent="0.35">
      <c r="A111" s="18" t="s">
        <v>314</v>
      </c>
      <c r="B111" s="19" t="s">
        <v>270</v>
      </c>
      <c r="C111" s="19" t="s">
        <v>400</v>
      </c>
      <c r="D111" s="19" t="s">
        <v>56</v>
      </c>
      <c r="E111" s="19" t="s">
        <v>401</v>
      </c>
      <c r="F111" s="20">
        <v>132.01</v>
      </c>
      <c r="G111" s="19">
        <v>30</v>
      </c>
      <c r="H111" s="20">
        <f>Table1[[#This Row],[Cost Price]]/Table1[[#This Row],[Pcs per Box]]</f>
        <v>4.4003333333333332</v>
      </c>
      <c r="I111" s="19">
        <v>5</v>
      </c>
      <c r="J111" s="20">
        <f>SUMIF('Stock In'!C:C, Table1[[#This Row],[Medicine ID]], 'Stock In'!E:E) * Table1[[#This Row],[Pcs per Box]]</f>
        <v>600</v>
      </c>
      <c r="K111" s="20">
        <f>SUMIF('Sales Log Table'!C:C, Table1[[#This Row],[Medicine ID]], 'Sales Log Table'!E:E)</f>
        <v>0</v>
      </c>
      <c r="L111" s="20">
        <f>Table1[[#This Row],[Total Received]] - Table1[[#This Row],[Total Sold]]</f>
        <v>600</v>
      </c>
      <c r="M111" s="21">
        <v>30</v>
      </c>
      <c r="N111" s="22">
        <v>46563</v>
      </c>
      <c r="O111" s="23" t="str">
        <f>IF(Table1[[#This Row],[Current Stock]] &lt;= Table1[[#This Row],[Min Stock]], "REORDER NOW", "Good")</f>
        <v>Good</v>
      </c>
      <c r="P111" s="24">
        <f>(Table1[[#This Row],[Unit Price]] - Table1[[#This Row],[Cost Per Pc]]) * Table1[[#This Row],[Total Sold]]</f>
        <v>0</v>
      </c>
      <c r="R111" s="7">
        <f>(Table1[[#This Row],[Total Received]] / Table1[[#This Row],[Pcs per Box]]) * Table1[[#This Row],[Cost Price]]</f>
        <v>2640.2</v>
      </c>
      <c r="S111" s="31">
        <f>SUM($R$3:Table1[[#This Row],[Annual Consumption Value]]) / SUM(Table1[Annual Consumption Value])</f>
        <v>0.92165581587524192</v>
      </c>
      <c r="T111" s="29" t="str">
        <f>IF(Table1[[#This Row],[Cumulative %]]&lt;=0.8, "A", IF(Table1[[#This Row],[Cumulative %]]&lt;=0.95, "B", "C"))</f>
        <v>B</v>
      </c>
    </row>
    <row r="112" spans="1:20" x14ac:dyDescent="0.35">
      <c r="A112" s="18" t="s">
        <v>315</v>
      </c>
      <c r="B112" s="19" t="s">
        <v>280</v>
      </c>
      <c r="C112" s="19" t="s">
        <v>261</v>
      </c>
      <c r="D112" s="19" t="s">
        <v>56</v>
      </c>
      <c r="E112" s="19" t="s">
        <v>419</v>
      </c>
      <c r="F112" s="20">
        <v>396.03</v>
      </c>
      <c r="G112" s="19">
        <v>30</v>
      </c>
      <c r="H112" s="20">
        <f>Table1[[#This Row],[Cost Price]]/Table1[[#This Row],[Pcs per Box]]</f>
        <v>13.200999999999999</v>
      </c>
      <c r="I112" s="19">
        <v>15</v>
      </c>
      <c r="J112" s="20">
        <f>SUMIF('Stock In'!C:C, Table1[[#This Row],[Medicine ID]], 'Stock In'!E:E) * Table1[[#This Row],[Pcs per Box]]</f>
        <v>300</v>
      </c>
      <c r="K112" s="20">
        <f>SUMIF('Sales Log Table'!C:C, Table1[[#This Row],[Medicine ID]], 'Sales Log Table'!E:E)</f>
        <v>0</v>
      </c>
      <c r="L112" s="20">
        <f>Table1[[#This Row],[Total Received]] - Table1[[#This Row],[Total Sold]]</f>
        <v>300</v>
      </c>
      <c r="M112" s="21">
        <v>30</v>
      </c>
      <c r="N112" s="22">
        <v>46563</v>
      </c>
      <c r="O112" s="23" t="str">
        <f>IF(Table1[[#This Row],[Current Stock]] &lt;= Table1[[#This Row],[Min Stock]], "REORDER NOW", "Good")</f>
        <v>Good</v>
      </c>
      <c r="P112" s="24">
        <f>(Table1[[#This Row],[Unit Price]] - Table1[[#This Row],[Cost Per Pc]]) * Table1[[#This Row],[Total Sold]]</f>
        <v>0</v>
      </c>
      <c r="R112" s="7">
        <f>(Table1[[#This Row],[Total Received]] / Table1[[#This Row],[Pcs per Box]]) * Table1[[#This Row],[Cost Price]]</f>
        <v>3960.2999999999997</v>
      </c>
      <c r="S112" s="31">
        <f>SUM($R$3:Table1[[#This Row],[Annual Consumption Value]]) / SUM(Table1[Annual Consumption Value])</f>
        <v>0.93619816161219527</v>
      </c>
      <c r="T112" s="29" t="str">
        <f>IF(Table1[[#This Row],[Cumulative %]]&lt;=0.8, "A", IF(Table1[[#This Row],[Cumulative %]]&lt;=0.95, "B", "C"))</f>
        <v>B</v>
      </c>
    </row>
    <row r="113" spans="1:20" x14ac:dyDescent="0.35">
      <c r="A113" s="18" t="s">
        <v>328</v>
      </c>
      <c r="B113" s="19" t="s">
        <v>281</v>
      </c>
      <c r="C113" s="19" t="s">
        <v>261</v>
      </c>
      <c r="D113" s="19" t="s">
        <v>56</v>
      </c>
      <c r="E113" s="19" t="s">
        <v>419</v>
      </c>
      <c r="F113" s="20">
        <v>422.43</v>
      </c>
      <c r="G113" s="19">
        <v>40</v>
      </c>
      <c r="H113" s="20">
        <f>Table1[[#This Row],[Cost Price]]/Table1[[#This Row],[Pcs per Box]]</f>
        <v>10.560750000000001</v>
      </c>
      <c r="I113" s="19">
        <v>12</v>
      </c>
      <c r="J113" s="20">
        <f>SUMIF('Stock In'!C:C, Table1[[#This Row],[Medicine ID]], 'Stock In'!E:E) * Table1[[#This Row],[Pcs per Box]]</f>
        <v>240</v>
      </c>
      <c r="K113" s="20">
        <f>SUMIF('Sales Log Table'!C:C, Table1[[#This Row],[Medicine ID]], 'Sales Log Table'!E:E)</f>
        <v>0</v>
      </c>
      <c r="L113" s="20">
        <f>Table1[[#This Row],[Total Received]] - Table1[[#This Row],[Total Sold]]</f>
        <v>240</v>
      </c>
      <c r="M113" s="21">
        <v>40</v>
      </c>
      <c r="N113" s="22">
        <v>46563</v>
      </c>
      <c r="O113" s="23" t="str">
        <f>IF(Table1[[#This Row],[Current Stock]] &lt;= Table1[[#This Row],[Min Stock]], "REORDER NOW", "Good")</f>
        <v>Good</v>
      </c>
      <c r="P113" s="24">
        <f>(Table1[[#This Row],[Unit Price]] - Table1[[#This Row],[Cost Per Pc]]) * Table1[[#This Row],[Total Sold]]</f>
        <v>0</v>
      </c>
      <c r="Q113" s="14"/>
      <c r="R113" s="14">
        <f>(Table1[[#This Row],[Total Received]] / Table1[[#This Row],[Pcs per Box]]) * Table1[[#This Row],[Cost Price]]</f>
        <v>2534.58</v>
      </c>
      <c r="S113" s="33">
        <f>SUM($R$3:Table1[[#This Row],[Annual Consumption Value]]) / SUM(Table1[Annual Consumption Value])</f>
        <v>0.94550521881946925</v>
      </c>
      <c r="T113" s="10" t="str">
        <f>IF(Table1[[#This Row],[Cumulative %]]&lt;=0.8, "A", IF(Table1[[#This Row],[Cumulative %]]&lt;=0.95, "B", "C"))</f>
        <v>B</v>
      </c>
    </row>
    <row r="114" spans="1:20" x14ac:dyDescent="0.35">
      <c r="A114" s="18" t="s">
        <v>376</v>
      </c>
      <c r="B114" s="19" t="s">
        <v>282</v>
      </c>
      <c r="C114" s="19" t="s">
        <v>261</v>
      </c>
      <c r="D114" s="19" t="s">
        <v>56</v>
      </c>
      <c r="E114" s="19" t="s">
        <v>419</v>
      </c>
      <c r="F114" s="20">
        <v>308.02</v>
      </c>
      <c r="G114" s="19">
        <v>50</v>
      </c>
      <c r="H114" s="20">
        <f>Table1[[#This Row],[Cost Price]]/Table1[[#This Row],[Pcs per Box]]</f>
        <v>6.1603999999999992</v>
      </c>
      <c r="I114" s="19">
        <v>7</v>
      </c>
      <c r="J114" s="20">
        <f>SUMIF('Stock In'!C:C, Table1[[#This Row],[Medicine ID]], 'Stock In'!E:E) * Table1[[#This Row],[Pcs per Box]]</f>
        <v>150</v>
      </c>
      <c r="K114" s="20">
        <f>SUMIF('Sales Log Table'!C:C, Table1[[#This Row],[Medicine ID]], 'Sales Log Table'!E:E)</f>
        <v>0</v>
      </c>
      <c r="L114" s="20">
        <f>Table1[[#This Row],[Total Received]] - Table1[[#This Row],[Total Sold]]</f>
        <v>150</v>
      </c>
      <c r="M114" s="21">
        <v>50</v>
      </c>
      <c r="N114" s="22">
        <v>46563</v>
      </c>
      <c r="O114" s="23" t="str">
        <f>IF(Table1[[#This Row],[Current Stock]] &lt;= Table1[[#This Row],[Min Stock]], "REORDER NOW", "Good")</f>
        <v>Good</v>
      </c>
      <c r="P114" s="24">
        <f>(Table1[[#This Row],[Unit Price]] - Table1[[#This Row],[Cost Per Pc]]) * Table1[[#This Row],[Total Sold]]</f>
        <v>0</v>
      </c>
      <c r="Q114" s="14"/>
      <c r="R114" s="14">
        <f>(Table1[[#This Row],[Total Received]] / Table1[[#This Row],[Pcs per Box]]) * Table1[[#This Row],[Cost Price]]</f>
        <v>924.06</v>
      </c>
      <c r="S114" s="33">
        <f>SUM($R$3:Table1[[#This Row],[Annual Consumption Value]]) / SUM(Table1[Annual Consumption Value])</f>
        <v>0.94889839610444482</v>
      </c>
      <c r="T114" s="10" t="str">
        <f>IF(Table1[[#This Row],[Cumulative %]]&lt;=0.8, "A", IF(Table1[[#This Row],[Cumulative %]]&lt;=0.95, "B", "C"))</f>
        <v>B</v>
      </c>
    </row>
    <row r="115" spans="1:20" x14ac:dyDescent="0.35">
      <c r="A115" s="18" t="s">
        <v>377</v>
      </c>
      <c r="B115" s="7" t="s">
        <v>302</v>
      </c>
      <c r="C115" s="19" t="s">
        <v>424</v>
      </c>
      <c r="D115" s="19" t="s">
        <v>425</v>
      </c>
      <c r="E115" s="19" t="s">
        <v>419</v>
      </c>
      <c r="F115" s="13">
        <v>132</v>
      </c>
      <c r="G115" s="7">
        <v>10</v>
      </c>
      <c r="H115" s="13">
        <f>Table1[[#This Row],[Cost Price]]/Table1[[#This Row],[Pcs per Box]]</f>
        <v>13.2</v>
      </c>
      <c r="I115" s="7">
        <v>15</v>
      </c>
      <c r="J115" s="13">
        <f>SUMIF('Stock In'!C:C, Table1[[#This Row],[Medicine ID]], 'Stock In'!E:E) * Table1[[#This Row],[Pcs per Box]]</f>
        <v>100</v>
      </c>
      <c r="K115" s="13">
        <f>SUMIF('Sales Log Table'!C:C, Table1[[#This Row],[Medicine ID]], 'Sales Log Table'!E:E)</f>
        <v>0</v>
      </c>
      <c r="L115" s="13">
        <f>Table1[[#This Row],[Total Received]] - Table1[[#This Row],[Total Sold]]</f>
        <v>100</v>
      </c>
      <c r="M115" s="10">
        <v>10</v>
      </c>
      <c r="N115" s="11">
        <v>46563</v>
      </c>
      <c r="O115" s="12" t="str">
        <f>IF(Table1[[#This Row],[Current Stock]] &lt;= Table1[[#This Row],[Min Stock]], "REORDER NOW", "Good")</f>
        <v>Good</v>
      </c>
      <c r="P115" s="17">
        <f>(Table1[[#This Row],[Unit Price]] - Table1[[#This Row],[Cost Per Pc]]) * Table1[[#This Row],[Total Sold]]</f>
        <v>0</v>
      </c>
      <c r="R115" s="7">
        <f>(Table1[[#This Row],[Total Received]] / Table1[[#This Row],[Pcs per Box]]) * Table1[[#This Row],[Cost Price]]</f>
        <v>1320</v>
      </c>
      <c r="S115" s="31">
        <f>SUM($R$3:Table1[[#This Row],[Annual Consumption Value]]) / SUM(Table1[Annual Consumption Value])</f>
        <v>0.95374547748029481</v>
      </c>
      <c r="T115" s="29" t="str">
        <f>IF(Table1[[#This Row],[Cumulative %]]&lt;=0.8, "A", IF(Table1[[#This Row],[Cumulative %]]&lt;=0.95, "B", "C"))</f>
        <v>C</v>
      </c>
    </row>
    <row r="116" spans="1:20" x14ac:dyDescent="0.35">
      <c r="A116" s="18" t="s">
        <v>451</v>
      </c>
      <c r="B116" s="19" t="s">
        <v>452</v>
      </c>
      <c r="C116" s="19" t="s">
        <v>261</v>
      </c>
      <c r="D116" s="19" t="s">
        <v>56</v>
      </c>
      <c r="E116" s="19" t="s">
        <v>419</v>
      </c>
      <c r="F116" s="20">
        <v>264.02</v>
      </c>
      <c r="G116" s="19">
        <v>20</v>
      </c>
      <c r="H116" s="20">
        <f>Table1[[#This Row],[Cost Price]]/Table1[[#This Row],[Pcs per Box]]</f>
        <v>13.200999999999999</v>
      </c>
      <c r="I116" s="19">
        <v>15</v>
      </c>
      <c r="J116" s="20">
        <f>SUMIF('Stock In'!C:C, Table1[[#This Row],[Medicine ID]], 'Stock In'!E:E) * Table1[[#This Row],[Pcs per Box]]</f>
        <v>240</v>
      </c>
      <c r="K116" s="20">
        <f>SUMIF('Sales Log Table'!C:C, Table1[[#This Row],[Medicine ID]], 'Sales Log Table'!E:E)</f>
        <v>0</v>
      </c>
      <c r="L116" s="20">
        <f>Table1[[#This Row],[Total Received]] - Table1[[#This Row],[Total Sold]]</f>
        <v>240</v>
      </c>
      <c r="M116" s="21"/>
      <c r="N116" s="22"/>
      <c r="O116" s="23" t="str">
        <f>IF(Table1[[#This Row],[Current Stock]] &lt;= Table1[[#This Row],[Min Stock]], "REORDER NOW", "Good")</f>
        <v>Good</v>
      </c>
      <c r="P116" s="24">
        <f>(Table1[[#This Row],[Unit Price]] - Table1[[#This Row],[Cost Per Pc]]) * Table1[[#This Row],[Total Sold]]</f>
        <v>0</v>
      </c>
      <c r="R116" s="7">
        <f>(Table1[[#This Row],[Total Received]] / Table1[[#This Row],[Pcs per Box]]) * Table1[[#This Row],[Cost Price]]</f>
        <v>3168.24</v>
      </c>
      <c r="S116" s="31">
        <f>SUM($R$3:Table1[[#This Row],[Annual Consumption Value]]) / SUM(Table1[Annual Consumption Value])</f>
        <v>0.96537935406985753</v>
      </c>
      <c r="T116" s="29" t="str">
        <f>IF(Table1[[#This Row],[Cumulative %]]&lt;=0.8, "A", IF(Table1[[#This Row],[Cumulative %]]&lt;=0.95, "B", "C"))</f>
        <v>C</v>
      </c>
    </row>
    <row r="117" spans="1:20" x14ac:dyDescent="0.35">
      <c r="A117" s="18" t="s">
        <v>474</v>
      </c>
      <c r="B117" s="19" t="s">
        <v>475</v>
      </c>
      <c r="C117" s="19" t="s">
        <v>476</v>
      </c>
      <c r="D117" s="19" t="s">
        <v>56</v>
      </c>
      <c r="E117" s="19" t="s">
        <v>508</v>
      </c>
      <c r="F117" s="20">
        <v>275.3</v>
      </c>
      <c r="G117" s="19">
        <v>50</v>
      </c>
      <c r="H117" s="20">
        <f>Table1[[#This Row],[Cost Price]]/Table1[[#This Row],[Pcs per Box]]</f>
        <v>5.5060000000000002</v>
      </c>
      <c r="I117" s="19">
        <v>6.26</v>
      </c>
      <c r="J117" s="20">
        <f>SUMIF('Stock In'!C:C, Table1[[#This Row],[Medicine ID]], 'Stock In'!E:E) * Table1[[#This Row],[Pcs per Box]]</f>
        <v>300</v>
      </c>
      <c r="K117" s="20">
        <f>SUMIF('Sales Log Table'!C:C, Table1[[#This Row],[Medicine ID]], 'Sales Log Table'!E:E)</f>
        <v>0</v>
      </c>
      <c r="L117" s="20">
        <f>Table1[[#This Row],[Total Received]] - Table1[[#This Row],[Total Sold]]</f>
        <v>300</v>
      </c>
      <c r="M117" s="21"/>
      <c r="N117" s="22"/>
      <c r="O117" s="23" t="str">
        <f>IF(Table1[[#This Row],[Current Stock]] &lt;= Table1[[#This Row],[Min Stock]], "REORDER NOW", "Good")</f>
        <v>Good</v>
      </c>
      <c r="P117" s="24">
        <f>(Table1[[#This Row],[Unit Price]] - Table1[[#This Row],[Cost Per Pc]]) * Table1[[#This Row],[Total Sold]]</f>
        <v>0</v>
      </c>
      <c r="R117" s="7">
        <f>(Table1[[#This Row],[Total Received]] / Table1[[#This Row],[Pcs per Box]]) * Table1[[#This Row],[Cost Price]]</f>
        <v>1651.8000000000002</v>
      </c>
      <c r="S117" s="31">
        <f>SUM($R$3:Table1[[#This Row],[Annual Consumption Value]]) / SUM(Table1[Annual Consumption Value])</f>
        <v>0.97144481544609151</v>
      </c>
      <c r="T117" s="29" t="str">
        <f>IF(Table1[[#This Row],[Cumulative %]]&lt;=0.8, "A", IF(Table1[[#This Row],[Cumulative %]]&lt;=0.95, "B", "C"))</f>
        <v>C</v>
      </c>
    </row>
    <row r="118" spans="1:20" x14ac:dyDescent="0.35">
      <c r="A118" s="18" t="s">
        <v>488</v>
      </c>
      <c r="B118" s="19" t="s">
        <v>477</v>
      </c>
      <c r="C118" s="19" t="s">
        <v>476</v>
      </c>
      <c r="D118" s="19" t="s">
        <v>56</v>
      </c>
      <c r="E118" s="19" t="s">
        <v>508</v>
      </c>
      <c r="F118" s="20">
        <f>(Table1[[#This Row],[Unit Price]] * 0.9) * Table1[[#This Row],[Pcs per Box]]</f>
        <v>0</v>
      </c>
      <c r="G118" s="19">
        <v>510</v>
      </c>
      <c r="H118" s="20">
        <f>Table1[[#This Row],[Cost Price]]/Table1[[#This Row],[Pcs per Box]]</f>
        <v>0</v>
      </c>
      <c r="I118" s="19"/>
      <c r="J118" s="20">
        <f>SUMIF('Stock In'!C:C, Table1[[#This Row],[Medicine ID]], 'Stock In'!E:E) * Table1[[#This Row],[Pcs per Box]]</f>
        <v>0</v>
      </c>
      <c r="K118" s="20">
        <f>SUMIF('Sales Log Table'!C:C, Table1[[#This Row],[Medicine ID]], 'Sales Log Table'!E:E)</f>
        <v>0</v>
      </c>
      <c r="L118" s="20">
        <f>Table1[[#This Row],[Total Received]] - Table1[[#This Row],[Total Sold]]</f>
        <v>0</v>
      </c>
      <c r="M118" s="21"/>
      <c r="N118" s="22">
        <v>46569</v>
      </c>
      <c r="O118" s="23" t="str">
        <f>IF(Table1[[#This Row],[Current Stock]] &lt;= Table1[[#This Row],[Min Stock]], "REORDER NOW", "Good")</f>
        <v>REORDER NOW</v>
      </c>
      <c r="P118" s="24">
        <f>(Table1[[#This Row],[Unit Price]] - Table1[[#This Row],[Cost Per Pc]]) * Table1[[#This Row],[Total Sold]]</f>
        <v>0</v>
      </c>
      <c r="R118" s="7">
        <f>(Table1[[#This Row],[Total Received]] / Table1[[#This Row],[Pcs per Box]]) * Table1[[#This Row],[Cost Price]]</f>
        <v>0</v>
      </c>
      <c r="S118" s="31">
        <f>SUM($R$3:Table1[[#This Row],[Annual Consumption Value]]) / SUM(Table1[Annual Consumption Value])</f>
        <v>0.97144481544609151</v>
      </c>
      <c r="T118" s="29" t="str">
        <f>IF(Table1[[#This Row],[Cumulative %]]&lt;=0.8, "A", IF(Table1[[#This Row],[Cumulative %]]&lt;=0.95, "B", "C"))</f>
        <v>C</v>
      </c>
    </row>
    <row r="119" spans="1:20" x14ac:dyDescent="0.35">
      <c r="A119" s="18" t="s">
        <v>489</v>
      </c>
      <c r="B119" s="19" t="s">
        <v>478</v>
      </c>
      <c r="C119" s="19" t="s">
        <v>476</v>
      </c>
      <c r="D119" s="19" t="s">
        <v>56</v>
      </c>
      <c r="E119" s="19" t="s">
        <v>508</v>
      </c>
      <c r="F119" s="20">
        <f>(Table1[[#This Row],[Unit Price]] * 0.9) * Table1[[#This Row],[Pcs per Box]]</f>
        <v>0</v>
      </c>
      <c r="G119" s="19">
        <v>50</v>
      </c>
      <c r="H119" s="20">
        <f>Table1[[#This Row],[Cost Price]]/Table1[[#This Row],[Pcs per Box]]</f>
        <v>0</v>
      </c>
      <c r="I119" s="19"/>
      <c r="J119" s="20">
        <f>SUMIF('Stock In'!C:C, Table1[[#This Row],[Medicine ID]], 'Stock In'!E:E) * Table1[[#This Row],[Pcs per Box]]</f>
        <v>0</v>
      </c>
      <c r="K119" s="20">
        <f>SUMIF('Sales Log Table'!C:C, Table1[[#This Row],[Medicine ID]], 'Sales Log Table'!E:E)</f>
        <v>0</v>
      </c>
      <c r="L119" s="20">
        <f>Table1[[#This Row],[Total Received]] - Table1[[#This Row],[Total Sold]]</f>
        <v>0</v>
      </c>
      <c r="M119" s="21"/>
      <c r="N119" s="22">
        <v>46570</v>
      </c>
      <c r="O119" s="23" t="str">
        <f>IF(Table1[[#This Row],[Current Stock]] &lt;= Table1[[#This Row],[Min Stock]], "REORDER NOW", "Good")</f>
        <v>REORDER NOW</v>
      </c>
      <c r="P119" s="24">
        <f>(Table1[[#This Row],[Unit Price]] - Table1[[#This Row],[Cost Per Pc]]) * Table1[[#This Row],[Total Sold]]</f>
        <v>0</v>
      </c>
      <c r="R119" s="7">
        <f>(Table1[[#This Row],[Total Received]] / Table1[[#This Row],[Pcs per Box]]) * Table1[[#This Row],[Cost Price]]</f>
        <v>0</v>
      </c>
      <c r="S119" s="31">
        <f>SUM($R$3:Table1[[#This Row],[Annual Consumption Value]]) / SUM(Table1[Annual Consumption Value])</f>
        <v>0.97144481544609151</v>
      </c>
      <c r="T119" s="29" t="str">
        <f>IF(Table1[[#This Row],[Cumulative %]]&lt;=0.8, "A", IF(Table1[[#This Row],[Cumulative %]]&lt;=0.95, "B", "C"))</f>
        <v>C</v>
      </c>
    </row>
    <row r="120" spans="1:20" x14ac:dyDescent="0.35">
      <c r="A120" s="18" t="s">
        <v>490</v>
      </c>
      <c r="B120" s="19" t="s">
        <v>479</v>
      </c>
      <c r="C120" s="19" t="s">
        <v>476</v>
      </c>
      <c r="D120" s="19" t="s">
        <v>56</v>
      </c>
      <c r="E120" s="19" t="s">
        <v>508</v>
      </c>
      <c r="F120" s="20">
        <f>(Table1[[#This Row],[Unit Price]] * 0.9) * Table1[[#This Row],[Pcs per Box]]</f>
        <v>0</v>
      </c>
      <c r="G120" s="19">
        <v>500</v>
      </c>
      <c r="H120" s="20">
        <f>Table1[[#This Row],[Cost Price]]/Table1[[#This Row],[Pcs per Box]]</f>
        <v>0</v>
      </c>
      <c r="I120" s="19"/>
      <c r="J120" s="20">
        <f>SUMIF('Stock In'!C:C, Table1[[#This Row],[Medicine ID]], 'Stock In'!E:E) * Table1[[#This Row],[Pcs per Box]]</f>
        <v>0</v>
      </c>
      <c r="K120" s="20">
        <f>SUMIF('Sales Log Table'!C:C, Table1[[#This Row],[Medicine ID]], 'Sales Log Table'!E:E)</f>
        <v>0</v>
      </c>
      <c r="L120" s="20">
        <f>Table1[[#This Row],[Total Received]] - Table1[[#This Row],[Total Sold]]</f>
        <v>0</v>
      </c>
      <c r="M120" s="21"/>
      <c r="N120" s="22">
        <v>46571</v>
      </c>
      <c r="O120" s="23" t="str">
        <f>IF(Table1[[#This Row],[Current Stock]] &lt;= Table1[[#This Row],[Min Stock]], "REORDER NOW", "Good")</f>
        <v>REORDER NOW</v>
      </c>
      <c r="P120" s="24">
        <f>(Table1[[#This Row],[Unit Price]] - Table1[[#This Row],[Cost Per Pc]]) * Table1[[#This Row],[Total Sold]]</f>
        <v>0</v>
      </c>
      <c r="R120" s="7">
        <f>(Table1[[#This Row],[Total Received]] / Table1[[#This Row],[Pcs per Box]]) * Table1[[#This Row],[Cost Price]]</f>
        <v>0</v>
      </c>
      <c r="S120" s="31">
        <f>SUM($R$3:Table1[[#This Row],[Annual Consumption Value]]) / SUM(Table1[Annual Consumption Value])</f>
        <v>0.97144481544609151</v>
      </c>
      <c r="T120" s="29" t="str">
        <f>IF(Table1[[#This Row],[Cumulative %]]&lt;=0.8, "A", IF(Table1[[#This Row],[Cumulative %]]&lt;=0.95, "B", "C"))</f>
        <v>C</v>
      </c>
    </row>
    <row r="121" spans="1:20" x14ac:dyDescent="0.35">
      <c r="A121" s="18" t="s">
        <v>491</v>
      </c>
      <c r="B121" s="19" t="s">
        <v>480</v>
      </c>
      <c r="C121" s="19" t="s">
        <v>476</v>
      </c>
      <c r="D121" s="19" t="s">
        <v>99</v>
      </c>
      <c r="E121" s="19" t="s">
        <v>508</v>
      </c>
      <c r="F121" s="20">
        <f>(Table1[[#This Row],[Unit Price]] * 0.9) * Table1[[#This Row],[Pcs per Box]]</f>
        <v>0</v>
      </c>
      <c r="G121" s="19">
        <v>1</v>
      </c>
      <c r="H121" s="20">
        <f>Table1[[#This Row],[Cost Price]]/Table1[[#This Row],[Pcs per Box]]</f>
        <v>0</v>
      </c>
      <c r="I121" s="19"/>
      <c r="J121" s="20">
        <f>SUMIF('Stock In'!C:C, Table1[[#This Row],[Medicine ID]], 'Stock In'!E:E) * Table1[[#This Row],[Pcs per Box]]</f>
        <v>0</v>
      </c>
      <c r="K121" s="20">
        <f>SUMIF('Sales Log Table'!C:C, Table1[[#This Row],[Medicine ID]], 'Sales Log Table'!E:E)</f>
        <v>0</v>
      </c>
      <c r="L121" s="20">
        <f>Table1[[#This Row],[Total Received]] - Table1[[#This Row],[Total Sold]]</f>
        <v>0</v>
      </c>
      <c r="M121" s="21"/>
      <c r="N121" s="22">
        <v>46572</v>
      </c>
      <c r="O121" s="23" t="str">
        <f>IF(Table1[[#This Row],[Current Stock]] &lt;= Table1[[#This Row],[Min Stock]], "REORDER NOW", "Good")</f>
        <v>REORDER NOW</v>
      </c>
      <c r="P121" s="24">
        <f>(Table1[[#This Row],[Unit Price]] - Table1[[#This Row],[Cost Per Pc]]) * Table1[[#This Row],[Total Sold]]</f>
        <v>0</v>
      </c>
      <c r="R121" s="7">
        <f>(Table1[[#This Row],[Total Received]] / Table1[[#This Row],[Pcs per Box]]) * Table1[[#This Row],[Cost Price]]</f>
        <v>0</v>
      </c>
      <c r="S121" s="31">
        <f>SUM($R$3:Table1[[#This Row],[Annual Consumption Value]]) / SUM(Table1[Annual Consumption Value])</f>
        <v>0.97144481544609151</v>
      </c>
      <c r="T121" s="29" t="str">
        <f>IF(Table1[[#This Row],[Cumulative %]]&lt;=0.8, "A", IF(Table1[[#This Row],[Cumulative %]]&lt;=0.95, "B", "C"))</f>
        <v>C</v>
      </c>
    </row>
    <row r="122" spans="1:20" x14ac:dyDescent="0.35">
      <c r="A122" s="18" t="s">
        <v>492</v>
      </c>
      <c r="B122" s="19" t="s">
        <v>481</v>
      </c>
      <c r="C122" s="19" t="s">
        <v>476</v>
      </c>
      <c r="D122" s="19" t="s">
        <v>99</v>
      </c>
      <c r="E122" s="19" t="s">
        <v>508</v>
      </c>
      <c r="F122" s="20">
        <f>(Table1[[#This Row],[Unit Price]] * 0.9) * Table1[[#This Row],[Pcs per Box]]</f>
        <v>0</v>
      </c>
      <c r="G122" s="19">
        <v>1</v>
      </c>
      <c r="H122" s="20">
        <f>Table1[[#This Row],[Cost Price]]/Table1[[#This Row],[Pcs per Box]]</f>
        <v>0</v>
      </c>
      <c r="I122" s="19"/>
      <c r="J122" s="20">
        <f>SUMIF('Stock In'!C:C, Table1[[#This Row],[Medicine ID]], 'Stock In'!E:E) * Table1[[#This Row],[Pcs per Box]]</f>
        <v>0</v>
      </c>
      <c r="K122" s="20">
        <f>SUMIF('Sales Log Table'!C:C, Table1[[#This Row],[Medicine ID]], 'Sales Log Table'!E:E)</f>
        <v>0</v>
      </c>
      <c r="L122" s="20">
        <f>Table1[[#This Row],[Total Received]] - Table1[[#This Row],[Total Sold]]</f>
        <v>0</v>
      </c>
      <c r="M122" s="21"/>
      <c r="N122" s="22">
        <v>46573</v>
      </c>
      <c r="O122" s="23" t="str">
        <f>IF(Table1[[#This Row],[Current Stock]] &lt;= Table1[[#This Row],[Min Stock]], "REORDER NOW", "Good")</f>
        <v>REORDER NOW</v>
      </c>
      <c r="P122" s="24">
        <f>(Table1[[#This Row],[Unit Price]] - Table1[[#This Row],[Cost Per Pc]]) * Table1[[#This Row],[Total Sold]]</f>
        <v>0</v>
      </c>
      <c r="R122" s="7">
        <f>(Table1[[#This Row],[Total Received]] / Table1[[#This Row],[Pcs per Box]]) * Table1[[#This Row],[Cost Price]]</f>
        <v>0</v>
      </c>
      <c r="S122" s="31">
        <f>SUM($R$3:Table1[[#This Row],[Annual Consumption Value]]) / SUM(Table1[Annual Consumption Value])</f>
        <v>0.97144481544609151</v>
      </c>
      <c r="T122" s="29" t="str">
        <f>IF(Table1[[#This Row],[Cumulative %]]&lt;=0.8, "A", IF(Table1[[#This Row],[Cumulative %]]&lt;=0.95, "B", "C"))</f>
        <v>C</v>
      </c>
    </row>
    <row r="123" spans="1:20" x14ac:dyDescent="0.35">
      <c r="A123" s="18" t="s">
        <v>493</v>
      </c>
      <c r="B123" s="19" t="s">
        <v>482</v>
      </c>
      <c r="C123" s="19" t="s">
        <v>476</v>
      </c>
      <c r="D123" s="19" t="s">
        <v>56</v>
      </c>
      <c r="E123" s="19" t="s">
        <v>508</v>
      </c>
      <c r="F123" s="20">
        <f>(Table1[[#This Row],[Unit Price]] * 0.9) * Table1[[#This Row],[Pcs per Box]]</f>
        <v>0</v>
      </c>
      <c r="G123" s="19">
        <v>240</v>
      </c>
      <c r="H123" s="20">
        <f>Table1[[#This Row],[Cost Price]]/Table1[[#This Row],[Pcs per Box]]</f>
        <v>0</v>
      </c>
      <c r="I123" s="19"/>
      <c r="J123" s="20">
        <f>SUMIF('Stock In'!C:C, Table1[[#This Row],[Medicine ID]], 'Stock In'!E:E) * Table1[[#This Row],[Pcs per Box]]</f>
        <v>0</v>
      </c>
      <c r="K123" s="20">
        <f>SUMIF('Sales Log Table'!C:C, Table1[[#This Row],[Medicine ID]], 'Sales Log Table'!E:E)</f>
        <v>0</v>
      </c>
      <c r="L123" s="20">
        <f>Table1[[#This Row],[Total Received]] - Table1[[#This Row],[Total Sold]]</f>
        <v>0</v>
      </c>
      <c r="M123" s="21"/>
      <c r="N123" s="22">
        <v>46574</v>
      </c>
      <c r="O123" s="23" t="str">
        <f>IF(Table1[[#This Row],[Current Stock]] &lt;= Table1[[#This Row],[Min Stock]], "REORDER NOW", "Good")</f>
        <v>REORDER NOW</v>
      </c>
      <c r="P123" s="24">
        <f>(Table1[[#This Row],[Unit Price]] - Table1[[#This Row],[Cost Per Pc]]) * Table1[[#This Row],[Total Sold]]</f>
        <v>0</v>
      </c>
      <c r="R123" s="7">
        <f>(Table1[[#This Row],[Total Received]] / Table1[[#This Row],[Pcs per Box]]) * Table1[[#This Row],[Cost Price]]</f>
        <v>0</v>
      </c>
      <c r="S123" s="31">
        <f>SUM($R$3:Table1[[#This Row],[Annual Consumption Value]]) / SUM(Table1[Annual Consumption Value])</f>
        <v>0.97144481544609151</v>
      </c>
      <c r="T123" s="29" t="str">
        <f>IF(Table1[[#This Row],[Cumulative %]]&lt;=0.8, "A", IF(Table1[[#This Row],[Cumulative %]]&lt;=0.95, "B", "C"))</f>
        <v>C</v>
      </c>
    </row>
    <row r="124" spans="1:20" x14ac:dyDescent="0.35">
      <c r="A124" s="18" t="s">
        <v>494</v>
      </c>
      <c r="B124" s="19" t="s">
        <v>483</v>
      </c>
      <c r="C124" s="19" t="s">
        <v>476</v>
      </c>
      <c r="D124" s="19" t="s">
        <v>56</v>
      </c>
      <c r="E124" s="19" t="s">
        <v>508</v>
      </c>
      <c r="F124" s="20">
        <f>(Table1[[#This Row],[Unit Price]] * 0.9) * Table1[[#This Row],[Pcs per Box]]</f>
        <v>0</v>
      </c>
      <c r="G124" s="19">
        <v>60</v>
      </c>
      <c r="H124" s="20">
        <f>Table1[[#This Row],[Cost Price]]/Table1[[#This Row],[Pcs per Box]]</f>
        <v>0</v>
      </c>
      <c r="I124" s="19"/>
      <c r="J124" s="20">
        <f>SUMIF('Stock In'!C:C, Table1[[#This Row],[Medicine ID]], 'Stock In'!E:E) * Table1[[#This Row],[Pcs per Box]]</f>
        <v>0</v>
      </c>
      <c r="K124" s="20">
        <f>SUMIF('Sales Log Table'!C:C, Table1[[#This Row],[Medicine ID]], 'Sales Log Table'!E:E)</f>
        <v>0</v>
      </c>
      <c r="L124" s="20">
        <f>Table1[[#This Row],[Total Received]] - Table1[[#This Row],[Total Sold]]</f>
        <v>0</v>
      </c>
      <c r="M124" s="21"/>
      <c r="N124" s="22">
        <v>46575</v>
      </c>
      <c r="O124" s="23" t="str">
        <f>IF(Table1[[#This Row],[Current Stock]] &lt;= Table1[[#This Row],[Min Stock]], "REORDER NOW", "Good")</f>
        <v>REORDER NOW</v>
      </c>
      <c r="P124" s="24">
        <f>(Table1[[#This Row],[Unit Price]] - Table1[[#This Row],[Cost Per Pc]]) * Table1[[#This Row],[Total Sold]]</f>
        <v>0</v>
      </c>
      <c r="R124" s="7">
        <f>(Table1[[#This Row],[Total Received]] / Table1[[#This Row],[Pcs per Box]]) * Table1[[#This Row],[Cost Price]]</f>
        <v>0</v>
      </c>
      <c r="S124" s="31">
        <f>SUM($R$3:Table1[[#This Row],[Annual Consumption Value]]) / SUM(Table1[Annual Consumption Value])</f>
        <v>0.97144481544609151</v>
      </c>
      <c r="T124" s="29" t="str">
        <f>IF(Table1[[#This Row],[Cumulative %]]&lt;=0.8, "A", IF(Table1[[#This Row],[Cumulative %]]&lt;=0.95, "B", "C"))</f>
        <v>C</v>
      </c>
    </row>
    <row r="125" spans="1:20" x14ac:dyDescent="0.35">
      <c r="A125" s="18" t="s">
        <v>495</v>
      </c>
      <c r="B125" s="19" t="s">
        <v>484</v>
      </c>
      <c r="C125" s="19" t="s">
        <v>476</v>
      </c>
      <c r="D125" s="19" t="s">
        <v>56</v>
      </c>
      <c r="E125" s="19" t="s">
        <v>508</v>
      </c>
      <c r="F125" s="20">
        <f>(Table1[[#This Row],[Unit Price]] * 0.9) * Table1[[#This Row],[Pcs per Box]]</f>
        <v>0</v>
      </c>
      <c r="G125" s="19">
        <v>100</v>
      </c>
      <c r="H125" s="20">
        <f>Table1[[#This Row],[Cost Price]]/Table1[[#This Row],[Pcs per Box]]</f>
        <v>0</v>
      </c>
      <c r="I125" s="19"/>
      <c r="J125" s="20">
        <f>SUMIF('Stock In'!C:C, Table1[[#This Row],[Medicine ID]], 'Stock In'!E:E) * Table1[[#This Row],[Pcs per Box]]</f>
        <v>0</v>
      </c>
      <c r="K125" s="20">
        <f>SUMIF('Sales Log Table'!C:C, Table1[[#This Row],[Medicine ID]], 'Sales Log Table'!E:E)</f>
        <v>0</v>
      </c>
      <c r="L125" s="20">
        <f>Table1[[#This Row],[Total Received]] - Table1[[#This Row],[Total Sold]]</f>
        <v>0</v>
      </c>
      <c r="M125" s="21"/>
      <c r="N125" s="22">
        <v>46576</v>
      </c>
      <c r="O125" s="23" t="str">
        <f>IF(Table1[[#This Row],[Current Stock]] &lt;= Table1[[#This Row],[Min Stock]], "REORDER NOW", "Good")</f>
        <v>REORDER NOW</v>
      </c>
      <c r="P125" s="24">
        <f>(Table1[[#This Row],[Unit Price]] - Table1[[#This Row],[Cost Per Pc]]) * Table1[[#This Row],[Total Sold]]</f>
        <v>0</v>
      </c>
      <c r="R125" s="7">
        <f>(Table1[[#This Row],[Total Received]] / Table1[[#This Row],[Pcs per Box]]) * Table1[[#This Row],[Cost Price]]</f>
        <v>0</v>
      </c>
      <c r="S125" s="31">
        <f>SUM($R$3:Table1[[#This Row],[Annual Consumption Value]]) / SUM(Table1[Annual Consumption Value])</f>
        <v>0.97144481544609151</v>
      </c>
      <c r="T125" s="29" t="str">
        <f>IF(Table1[[#This Row],[Cumulative %]]&lt;=0.8, "A", IF(Table1[[#This Row],[Cumulative %]]&lt;=0.95, "B", "C"))</f>
        <v>C</v>
      </c>
    </row>
    <row r="126" spans="1:20" x14ac:dyDescent="0.35">
      <c r="A126" s="18" t="s">
        <v>496</v>
      </c>
      <c r="B126" s="19" t="s">
        <v>482</v>
      </c>
      <c r="C126" s="19" t="s">
        <v>476</v>
      </c>
      <c r="D126" s="19" t="s">
        <v>99</v>
      </c>
      <c r="E126" s="19" t="s">
        <v>508</v>
      </c>
      <c r="F126" s="20">
        <f>(Table1[[#This Row],[Unit Price]] * 0.9) * Table1[[#This Row],[Pcs per Box]]</f>
        <v>0</v>
      </c>
      <c r="G126" s="19">
        <v>1</v>
      </c>
      <c r="H126" s="20">
        <f>Table1[[#This Row],[Cost Price]]/Table1[[#This Row],[Pcs per Box]]</f>
        <v>0</v>
      </c>
      <c r="I126" s="19"/>
      <c r="J126" s="20">
        <f>SUMIF('Stock In'!C:C, Table1[[#This Row],[Medicine ID]], 'Stock In'!E:E) * Table1[[#This Row],[Pcs per Box]]</f>
        <v>0</v>
      </c>
      <c r="K126" s="20">
        <f>SUMIF('Sales Log Table'!C:C, Table1[[#This Row],[Medicine ID]], 'Sales Log Table'!E:E)</f>
        <v>0</v>
      </c>
      <c r="L126" s="20">
        <f>Table1[[#This Row],[Total Received]] - Table1[[#This Row],[Total Sold]]</f>
        <v>0</v>
      </c>
      <c r="M126" s="21"/>
      <c r="N126" s="22">
        <v>46577</v>
      </c>
      <c r="O126" s="23" t="str">
        <f>IF(Table1[[#This Row],[Current Stock]] &lt;= Table1[[#This Row],[Min Stock]], "REORDER NOW", "Good")</f>
        <v>REORDER NOW</v>
      </c>
      <c r="P126" s="24">
        <f>(Table1[[#This Row],[Unit Price]] - Table1[[#This Row],[Cost Per Pc]]) * Table1[[#This Row],[Total Sold]]</f>
        <v>0</v>
      </c>
      <c r="R126" s="7">
        <f>(Table1[[#This Row],[Total Received]] / Table1[[#This Row],[Pcs per Box]]) * Table1[[#This Row],[Cost Price]]</f>
        <v>0</v>
      </c>
      <c r="S126" s="31">
        <f>SUM($R$3:Table1[[#This Row],[Annual Consumption Value]]) / SUM(Table1[Annual Consumption Value])</f>
        <v>0.97144481544609151</v>
      </c>
      <c r="T126" s="29" t="str">
        <f>IF(Table1[[#This Row],[Cumulative %]]&lt;=0.8, "A", IF(Table1[[#This Row],[Cumulative %]]&lt;=0.95, "B", "C"))</f>
        <v>C</v>
      </c>
    </row>
    <row r="127" spans="1:20" x14ac:dyDescent="0.35">
      <c r="A127" s="18" t="s">
        <v>497</v>
      </c>
      <c r="B127" s="19" t="s">
        <v>485</v>
      </c>
      <c r="C127" s="19" t="s">
        <v>476</v>
      </c>
      <c r="D127" s="19" t="s">
        <v>56</v>
      </c>
      <c r="E127" s="19" t="s">
        <v>508</v>
      </c>
      <c r="F127" s="20">
        <f>(Table1[[#This Row],[Unit Price]] * 0.9) * Table1[[#This Row],[Pcs per Box]]</f>
        <v>325.08</v>
      </c>
      <c r="G127" s="19">
        <v>210</v>
      </c>
      <c r="H127" s="20">
        <f>Table1[[#This Row],[Cost Price]]/Table1[[#This Row],[Pcs per Box]]</f>
        <v>1.5479999999999998</v>
      </c>
      <c r="I127" s="19">
        <v>1.72</v>
      </c>
      <c r="J127" s="20">
        <f>SUMIF('Stock In'!C:C, Table1[[#This Row],[Medicine ID]], 'Stock In'!E:E) * Table1[[#This Row],[Pcs per Box]]</f>
        <v>0</v>
      </c>
      <c r="K127" s="20">
        <f>SUMIF('Sales Log Table'!C:C, Table1[[#This Row],[Medicine ID]], 'Sales Log Table'!E:E)</f>
        <v>0</v>
      </c>
      <c r="L127" s="20">
        <f>Table1[[#This Row],[Total Received]] - Table1[[#This Row],[Total Sold]]</f>
        <v>0</v>
      </c>
      <c r="M127" s="21"/>
      <c r="N127" s="22">
        <v>46578</v>
      </c>
      <c r="O127" s="23" t="str">
        <f>IF(Table1[[#This Row],[Current Stock]] &lt;= Table1[[#This Row],[Min Stock]], "REORDER NOW", "Good")</f>
        <v>REORDER NOW</v>
      </c>
      <c r="P127" s="24">
        <f>(Table1[[#This Row],[Unit Price]] - Table1[[#This Row],[Cost Per Pc]]) * Table1[[#This Row],[Total Sold]]</f>
        <v>0</v>
      </c>
      <c r="R127" s="7">
        <f>(Table1[[#This Row],[Total Received]] / Table1[[#This Row],[Pcs per Box]]) * Table1[[#This Row],[Cost Price]]</f>
        <v>0</v>
      </c>
      <c r="S127" s="31">
        <f>SUM($R$3:Table1[[#This Row],[Annual Consumption Value]]) / SUM(Table1[Annual Consumption Value])</f>
        <v>0.97144481544609151</v>
      </c>
      <c r="T127" s="29" t="str">
        <f>IF(Table1[[#This Row],[Cumulative %]]&lt;=0.8, "A", IF(Table1[[#This Row],[Cumulative %]]&lt;=0.95, "B", "C"))</f>
        <v>C</v>
      </c>
    </row>
    <row r="128" spans="1:20" x14ac:dyDescent="0.35">
      <c r="A128" s="18" t="s">
        <v>498</v>
      </c>
      <c r="B128" s="19" t="s">
        <v>486</v>
      </c>
      <c r="C128" s="19" t="s">
        <v>476</v>
      </c>
      <c r="D128" s="19" t="s">
        <v>56</v>
      </c>
      <c r="E128" s="19" t="s">
        <v>508</v>
      </c>
      <c r="F128" s="20">
        <f>(Table1[[#This Row],[Unit Price]] * 0.9) * Table1[[#This Row],[Pcs per Box]]</f>
        <v>290.7</v>
      </c>
      <c r="G128" s="19">
        <v>100</v>
      </c>
      <c r="H128" s="20">
        <f>Table1[[#This Row],[Cost Price]]/Table1[[#This Row],[Pcs per Box]]</f>
        <v>2.907</v>
      </c>
      <c r="I128" s="19">
        <v>3.23</v>
      </c>
      <c r="J128" s="20">
        <f>SUMIF('Stock In'!C:C, Table1[[#This Row],[Medicine ID]], 'Stock In'!E:E) * Table1[[#This Row],[Pcs per Box]]</f>
        <v>0</v>
      </c>
      <c r="K128" s="20">
        <f>SUMIF('Sales Log Table'!C:C, Table1[[#This Row],[Medicine ID]], 'Sales Log Table'!E:E)</f>
        <v>0</v>
      </c>
      <c r="L128" s="20">
        <f>Table1[[#This Row],[Total Received]] - Table1[[#This Row],[Total Sold]]</f>
        <v>0</v>
      </c>
      <c r="M128" s="21"/>
      <c r="N128" s="22">
        <v>46579</v>
      </c>
      <c r="O128" s="23" t="str">
        <f>IF(Table1[[#This Row],[Current Stock]] &lt;= Table1[[#This Row],[Min Stock]], "REORDER NOW", "Good")</f>
        <v>REORDER NOW</v>
      </c>
      <c r="P128" s="24">
        <f>(Table1[[#This Row],[Unit Price]] - Table1[[#This Row],[Cost Per Pc]]) * Table1[[#This Row],[Total Sold]]</f>
        <v>0</v>
      </c>
      <c r="R128" s="7">
        <f>(Table1[[#This Row],[Total Received]] / Table1[[#This Row],[Pcs per Box]]) * Table1[[#This Row],[Cost Price]]</f>
        <v>0</v>
      </c>
      <c r="S128" s="31">
        <f>SUM($R$3:Table1[[#This Row],[Annual Consumption Value]]) / SUM(Table1[Annual Consumption Value])</f>
        <v>0.97144481544609151</v>
      </c>
      <c r="T128" s="29" t="str">
        <f>IF(Table1[[#This Row],[Cumulative %]]&lt;=0.8, "A", IF(Table1[[#This Row],[Cumulative %]]&lt;=0.95, "B", "C"))</f>
        <v>C</v>
      </c>
    </row>
    <row r="129" spans="1:20" x14ac:dyDescent="0.35">
      <c r="A129" s="18" t="s">
        <v>499</v>
      </c>
      <c r="B129" s="7" t="s">
        <v>487</v>
      </c>
      <c r="C129" s="19" t="s">
        <v>476</v>
      </c>
      <c r="D129" s="19" t="s">
        <v>56</v>
      </c>
      <c r="E129" s="19" t="s">
        <v>508</v>
      </c>
      <c r="F129" s="13">
        <f>(Table1[[#This Row],[Unit Price]] * 0.9) * Table1[[#This Row],[Pcs per Box]]</f>
        <v>282.14999999999998</v>
      </c>
      <c r="G129" s="7">
        <v>50</v>
      </c>
      <c r="H129" s="13">
        <f>Table1[[#This Row],[Cost Price]]/Table1[[#This Row],[Pcs per Box]]</f>
        <v>5.6429999999999998</v>
      </c>
      <c r="I129" s="7">
        <v>6.27</v>
      </c>
      <c r="J129" s="13">
        <f>SUMIF('Stock In'!C:C, Table1[[#This Row],[Medicine ID]], 'Stock In'!E:E) * Table1[[#This Row],[Pcs per Box]]</f>
        <v>0</v>
      </c>
      <c r="K129" s="13">
        <f>SUMIF('Sales Log Table'!C:C, Table1[[#This Row],[Medicine ID]], 'Sales Log Table'!E:E)</f>
        <v>0</v>
      </c>
      <c r="L129" s="13">
        <f>Table1[[#This Row],[Total Received]] - Table1[[#This Row],[Total Sold]]</f>
        <v>0</v>
      </c>
      <c r="M129" s="10"/>
      <c r="N129" s="22">
        <v>46580</v>
      </c>
      <c r="O129" s="12" t="str">
        <f>IF(Table1[[#This Row],[Current Stock]] &lt;= Table1[[#This Row],[Min Stock]], "REORDER NOW", "Good")</f>
        <v>REORDER NOW</v>
      </c>
      <c r="P129" s="17">
        <f>(Table1[[#This Row],[Unit Price]] - Table1[[#This Row],[Cost Per Pc]]) * Table1[[#This Row],[Total Sold]]</f>
        <v>0</v>
      </c>
      <c r="R129" s="7">
        <f>(Table1[[#This Row],[Total Received]] / Table1[[#This Row],[Pcs per Box]]) * Table1[[#This Row],[Cost Price]]</f>
        <v>0</v>
      </c>
      <c r="S129" s="31">
        <f>SUM($R$3:Table1[[#This Row],[Annual Consumption Value]]) / SUM(Table1[Annual Consumption Value])</f>
        <v>0.97144481544609151</v>
      </c>
      <c r="T129" s="29" t="str">
        <f>IF(Table1[[#This Row],[Cumulative %]]&lt;=0.8, "A", IF(Table1[[#This Row],[Cumulative %]]&lt;=0.95, "B", "C"))</f>
        <v>C</v>
      </c>
    </row>
    <row r="130" spans="1:20" x14ac:dyDescent="0.35">
      <c r="A130" s="18" t="s">
        <v>500</v>
      </c>
      <c r="B130" s="7" t="s">
        <v>485</v>
      </c>
      <c r="C130" s="19" t="s">
        <v>476</v>
      </c>
      <c r="D130" s="19" t="s">
        <v>99</v>
      </c>
      <c r="E130" s="19" t="s">
        <v>508</v>
      </c>
      <c r="F130" s="13">
        <f>(Table1[[#This Row],[Unit Price]] * 0.9) * Table1[[#This Row],[Pcs per Box]]</f>
        <v>0</v>
      </c>
      <c r="G130" s="7">
        <v>1</v>
      </c>
      <c r="H130" s="13">
        <f>Table1[[#This Row],[Cost Price]]/Table1[[#This Row],[Pcs per Box]]</f>
        <v>0</v>
      </c>
      <c r="J130" s="13">
        <f>SUMIF('Stock In'!C:C, Table1[[#This Row],[Medicine ID]], 'Stock In'!E:E) * Table1[[#This Row],[Pcs per Box]]</f>
        <v>0</v>
      </c>
      <c r="K130" s="13">
        <f>SUMIF('Sales Log Table'!C:C, Table1[[#This Row],[Medicine ID]], 'Sales Log Table'!E:E)</f>
        <v>0</v>
      </c>
      <c r="L130" s="13">
        <f>Table1[[#This Row],[Total Received]] - Table1[[#This Row],[Total Sold]]</f>
        <v>0</v>
      </c>
      <c r="M130" s="10"/>
      <c r="N130" s="22">
        <v>46581</v>
      </c>
      <c r="O130" s="12" t="str">
        <f>IF(Table1[[#This Row],[Current Stock]] &lt;= Table1[[#This Row],[Min Stock]], "REORDER NOW", "Good")</f>
        <v>REORDER NOW</v>
      </c>
      <c r="P130" s="17">
        <f>(Table1[[#This Row],[Unit Price]] - Table1[[#This Row],[Cost Per Pc]]) * Table1[[#This Row],[Total Sold]]</f>
        <v>0</v>
      </c>
      <c r="R130" s="7">
        <f>(Table1[[#This Row],[Total Received]] / Table1[[#This Row],[Pcs per Box]]) * Table1[[#This Row],[Cost Price]]</f>
        <v>0</v>
      </c>
      <c r="S130" s="31">
        <f>SUM($R$3:Table1[[#This Row],[Annual Consumption Value]]) / SUM(Table1[Annual Consumption Value])</f>
        <v>0.97144481544609151</v>
      </c>
      <c r="T130" s="29" t="str">
        <f>IF(Table1[[#This Row],[Cumulative %]]&lt;=0.8, "A", IF(Table1[[#This Row],[Cumulative %]]&lt;=0.95, "B", "C"))</f>
        <v>C</v>
      </c>
    </row>
    <row r="131" spans="1:20" x14ac:dyDescent="0.35">
      <c r="A131" s="18" t="s">
        <v>501</v>
      </c>
      <c r="B131" s="19" t="s">
        <v>502</v>
      </c>
      <c r="C131" s="19" t="s">
        <v>504</v>
      </c>
      <c r="D131" s="19" t="s">
        <v>56</v>
      </c>
      <c r="E131" s="19" t="s">
        <v>503</v>
      </c>
      <c r="F131" s="20">
        <v>174.19</v>
      </c>
      <c r="G131" s="19">
        <v>90</v>
      </c>
      <c r="H131" s="20">
        <f>Table1[[#This Row],[Cost Price]]/Table1[[#This Row],[Pcs per Box]]</f>
        <v>1.9354444444444445</v>
      </c>
      <c r="I131" s="19">
        <v>2.2000000000000002</v>
      </c>
      <c r="J131" s="20">
        <f>SUMIF('Stock In'!C:C, Table1[[#This Row],[Medicine ID]], 'Stock In'!E:E) * Table1[[#This Row],[Pcs per Box]]</f>
        <v>180</v>
      </c>
      <c r="K131" s="20">
        <f>SUMIF('Sales Log Table'!C:C, Table1[[#This Row],[Medicine ID]], 'Sales Log Table'!E:E)</f>
        <v>0</v>
      </c>
      <c r="L131" s="20">
        <f>Table1[[#This Row],[Total Received]] - Table1[[#This Row],[Total Sold]]</f>
        <v>180</v>
      </c>
      <c r="M131" s="21"/>
      <c r="N131" s="22"/>
      <c r="O131" s="23" t="str">
        <f>IF(Table1[[#This Row],[Current Stock]] &lt;= Table1[[#This Row],[Min Stock]], "REORDER NOW", "Good")</f>
        <v>Good</v>
      </c>
      <c r="P131" s="24">
        <f>(Table1[[#This Row],[Unit Price]] - Table1[[#This Row],[Cost Per Pc]]) * Table1[[#This Row],[Total Sold]]</f>
        <v>0</v>
      </c>
      <c r="R131" s="7">
        <f>(Table1[[#This Row],[Total Received]] / Table1[[#This Row],[Pcs per Box]]) * Table1[[#This Row],[Cost Price]]</f>
        <v>348.38</v>
      </c>
      <c r="S131" s="31">
        <f>SUM($R$3:Table1[[#This Row],[Annual Consumption Value]]) / SUM(Table1[Annual Consumption Value])</f>
        <v>0.97272407772618141</v>
      </c>
      <c r="T131" s="29" t="str">
        <f>IF(Table1[[#This Row],[Cumulative %]]&lt;=0.8, "A", IF(Table1[[#This Row],[Cumulative %]]&lt;=0.95, "B", "C"))</f>
        <v>C</v>
      </c>
    </row>
    <row r="132" spans="1:20" x14ac:dyDescent="0.35">
      <c r="A132" s="18" t="s">
        <v>332</v>
      </c>
      <c r="B132" s="19" t="s">
        <v>272</v>
      </c>
      <c r="C132" s="19" t="s">
        <v>402</v>
      </c>
      <c r="D132" s="19" t="s">
        <v>273</v>
      </c>
      <c r="E132" s="19" t="s">
        <v>403</v>
      </c>
      <c r="F132" s="20">
        <v>123.21</v>
      </c>
      <c r="G132" s="19">
        <v>1</v>
      </c>
      <c r="H132" s="20">
        <f>Table1[[#This Row],[Cost Price]]/Table1[[#This Row],[Pcs per Box]]</f>
        <v>123.21</v>
      </c>
      <c r="I132" s="19">
        <v>140</v>
      </c>
      <c r="J132" s="20">
        <f>SUMIF('Stock In'!C:C, Table1[[#This Row],[Medicine ID]], 'Stock In'!E:E) * Table1[[#This Row],[Pcs per Box]]</f>
        <v>10</v>
      </c>
      <c r="K132" s="20">
        <f>SUMIF('Sales Log Table'!C:C, Table1[[#This Row],[Medicine ID]], 'Sales Log Table'!E:E)</f>
        <v>0</v>
      </c>
      <c r="L132" s="20">
        <f>Table1[[#This Row],[Total Received]] - Table1[[#This Row],[Total Sold]]</f>
        <v>10</v>
      </c>
      <c r="M132" s="21">
        <v>1</v>
      </c>
      <c r="N132" s="22">
        <v>46563</v>
      </c>
      <c r="O132" s="23" t="str">
        <f>IF(Table1[[#This Row],[Current Stock]] &lt;= Table1[[#This Row],[Min Stock]], "REORDER NOW", "Good")</f>
        <v>Good</v>
      </c>
      <c r="P132" s="24">
        <f>(Table1[[#This Row],[Unit Price]] - Table1[[#This Row],[Cost Per Pc]]) * Table1[[#This Row],[Total Sold]]</f>
        <v>0</v>
      </c>
      <c r="Q132" s="14"/>
      <c r="R132" s="14">
        <f>(Table1[[#This Row],[Total Received]] / Table1[[#This Row],[Pcs per Box]]) * Table1[[#This Row],[Cost Price]]</f>
        <v>1232.0999999999999</v>
      </c>
      <c r="S132" s="33">
        <f>SUM($R$3:Table1[[#This Row],[Annual Consumption Value]]) / SUM(Table1[Annual Consumption Value])</f>
        <v>0.97724838754677579</v>
      </c>
      <c r="T132" s="10" t="str">
        <f>IF(Table1[[#This Row],[Cumulative %]]&lt;=0.8, "A", IF(Table1[[#This Row],[Cumulative %]]&lt;=0.95, "B", "C"))</f>
        <v>C</v>
      </c>
    </row>
    <row r="133" spans="1:20" x14ac:dyDescent="0.35">
      <c r="A133" s="18" t="s">
        <v>333</v>
      </c>
      <c r="B133" s="19" t="s">
        <v>296</v>
      </c>
      <c r="C133" s="19" t="s">
        <v>411</v>
      </c>
      <c r="D133" s="19" t="s">
        <v>295</v>
      </c>
      <c r="E133" s="19" t="s">
        <v>412</v>
      </c>
      <c r="F133" s="20">
        <v>30.81</v>
      </c>
      <c r="G133" s="19">
        <v>1</v>
      </c>
      <c r="H133" s="20">
        <f>Table1[[#This Row],[Cost Price]]/Table1[[#This Row],[Pcs per Box]]</f>
        <v>30.81</v>
      </c>
      <c r="I133" s="19">
        <v>35</v>
      </c>
      <c r="J133" s="20">
        <f>SUMIF('Stock In'!C:C, Table1[[#This Row],[Medicine ID]], 'Stock In'!E:E) * Table1[[#This Row],[Pcs per Box]]</f>
        <v>10</v>
      </c>
      <c r="K133" s="20">
        <f>SUMIF('Sales Log Table'!C:C, Table1[[#This Row],[Medicine ID]], 'Sales Log Table'!E:E)</f>
        <v>0</v>
      </c>
      <c r="L133" s="20">
        <f>Table1[[#This Row],[Total Received]] - Table1[[#This Row],[Total Sold]]</f>
        <v>10</v>
      </c>
      <c r="M133" s="21">
        <v>1</v>
      </c>
      <c r="N133" s="22">
        <v>46563</v>
      </c>
      <c r="O133" s="23" t="str">
        <f>IF(Table1[[#This Row],[Current Stock]] &lt;= Table1[[#This Row],[Min Stock]], "REORDER NOW", "Good")</f>
        <v>Good</v>
      </c>
      <c r="P133" s="24">
        <f>(Table1[[#This Row],[Unit Price]] - Table1[[#This Row],[Cost Per Pc]]) * Table1[[#This Row],[Total Sold]]</f>
        <v>0</v>
      </c>
      <c r="R133" s="7">
        <f>(Table1[[#This Row],[Total Received]] / Table1[[#This Row],[Pcs per Box]]) * Table1[[#This Row],[Cost Price]]</f>
        <v>308.09999999999997</v>
      </c>
      <c r="S133" s="31">
        <f>SUM($R$3:Table1[[#This Row],[Annual Consumption Value]]) / SUM(Table1[Annual Consumption Value])</f>
        <v>0.97837974040427522</v>
      </c>
      <c r="T133" s="29" t="str">
        <f>IF(Table1[[#This Row],[Cumulative %]]&lt;=0.8, "A", IF(Table1[[#This Row],[Cumulative %]]&lt;=0.95, "B", "C"))</f>
        <v>C</v>
      </c>
    </row>
    <row r="134" spans="1:20" x14ac:dyDescent="0.35">
      <c r="A134" s="39" t="s">
        <v>334</v>
      </c>
      <c r="B134" s="40" t="s">
        <v>297</v>
      </c>
      <c r="C134" s="41" t="s">
        <v>413</v>
      </c>
      <c r="D134" s="40" t="s">
        <v>295</v>
      </c>
      <c r="E134" s="40" t="s">
        <v>414</v>
      </c>
      <c r="F134" s="42">
        <v>66</v>
      </c>
      <c r="G134" s="40">
        <v>1</v>
      </c>
      <c r="H134" s="42">
        <f>Table1[[#This Row],[Cost Price]]/Table1[[#This Row],[Pcs per Box]]</f>
        <v>66</v>
      </c>
      <c r="I134" s="40">
        <v>75</v>
      </c>
      <c r="J134" s="42">
        <f>SUMIF('Stock In'!C:C, Table1[[#This Row],[Medicine ID]], 'Stock In'!E:E) * Table1[[#This Row],[Pcs per Box]]</f>
        <v>10</v>
      </c>
      <c r="K134" s="42">
        <f>SUMIF('Sales Log Table'!C:C, Table1[[#This Row],[Medicine ID]], 'Sales Log Table'!E:E)</f>
        <v>0</v>
      </c>
      <c r="L134" s="42">
        <f>Table1[[#This Row],[Total Received]] - Table1[[#This Row],[Total Sold]]</f>
        <v>10</v>
      </c>
      <c r="M134" s="21">
        <v>1</v>
      </c>
      <c r="N134" s="22">
        <v>46563</v>
      </c>
      <c r="O134" s="23" t="str">
        <f>IF(Table1[[#This Row],[Current Stock]] &lt;= Table1[[#This Row],[Min Stock]], "REORDER NOW", "Good")</f>
        <v>Good</v>
      </c>
      <c r="P134" s="43">
        <f>(Table1[[#This Row],[Unit Price]] - Table1[[#This Row],[Cost Per Pc]]) * Table1[[#This Row],[Total Sold]]</f>
        <v>0</v>
      </c>
      <c r="R134" s="7">
        <f>(Table1[[#This Row],[Total Received]] / Table1[[#This Row],[Pcs per Box]]) * Table1[[#This Row],[Cost Price]]</f>
        <v>660</v>
      </c>
      <c r="S134" s="31">
        <f>SUM($R$3:Table1[[#This Row],[Annual Consumption Value]]) / SUM(Table1[Annual Consumption Value])</f>
        <v>0.98080328109220016</v>
      </c>
      <c r="T134" s="29" t="str">
        <f>IF(Table1[[#This Row],[Cumulative %]]&lt;=0.8, "A", IF(Table1[[#This Row],[Cumulative %]]&lt;=0.95, "B", "C"))</f>
        <v>C</v>
      </c>
    </row>
    <row r="135" spans="1:20" ht="29" x14ac:dyDescent="0.35">
      <c r="A135" s="39" t="s">
        <v>335</v>
      </c>
      <c r="B135" s="40" t="s">
        <v>298</v>
      </c>
      <c r="C135" s="41" t="s">
        <v>415</v>
      </c>
      <c r="D135" s="40" t="s">
        <v>295</v>
      </c>
      <c r="E135" s="41" t="s">
        <v>416</v>
      </c>
      <c r="F135" s="42">
        <v>132</v>
      </c>
      <c r="G135" s="40">
        <v>1</v>
      </c>
      <c r="H135" s="42">
        <f>Table1[[#This Row],[Cost Price]]/Table1[[#This Row],[Pcs per Box]]</f>
        <v>132</v>
      </c>
      <c r="I135" s="40">
        <v>150</v>
      </c>
      <c r="J135" s="42">
        <f>SUMIF('Stock In'!C:C, Table1[[#This Row],[Medicine ID]], 'Stock In'!E:E) * Table1[[#This Row],[Pcs per Box]]</f>
        <v>19</v>
      </c>
      <c r="K135" s="42">
        <f>SUMIF('Sales Log Table'!C:C, Table1[[#This Row],[Medicine ID]], 'Sales Log Table'!E:E)</f>
        <v>0</v>
      </c>
      <c r="L135" s="42">
        <f>Table1[[#This Row],[Total Received]] - Table1[[#This Row],[Total Sold]]</f>
        <v>19</v>
      </c>
      <c r="M135" s="21">
        <v>1</v>
      </c>
      <c r="N135" s="22">
        <v>46563</v>
      </c>
      <c r="O135" s="23" t="str">
        <f>IF(Table1[[#This Row],[Current Stock]] &lt;= Table1[[#This Row],[Min Stock]], "REORDER NOW", "Good")</f>
        <v>Good</v>
      </c>
      <c r="P135" s="43">
        <f>(Table1[[#This Row],[Unit Price]] - Table1[[#This Row],[Cost Per Pc]]) * Table1[[#This Row],[Total Sold]]</f>
        <v>0</v>
      </c>
      <c r="R135" s="7">
        <f>(Table1[[#This Row],[Total Received]] / Table1[[#This Row],[Pcs per Box]]) * Table1[[#This Row],[Cost Price]]</f>
        <v>2508</v>
      </c>
      <c r="S135" s="31">
        <f>SUM($R$3:Table1[[#This Row],[Annual Consumption Value]]) / SUM(Table1[Annual Consumption Value])</f>
        <v>0.99001273570631498</v>
      </c>
      <c r="T135" s="29" t="str">
        <f>IF(Table1[[#This Row],[Cumulative %]]&lt;=0.8, "A", IF(Table1[[#This Row],[Cumulative %]]&lt;=0.95, "B", "C"))</f>
        <v>C</v>
      </c>
    </row>
    <row r="136" spans="1:20" x14ac:dyDescent="0.35">
      <c r="A136" s="18" t="s">
        <v>329</v>
      </c>
      <c r="B136" s="19" t="s">
        <v>274</v>
      </c>
      <c r="C136" s="19" t="s">
        <v>404</v>
      </c>
      <c r="D136" s="19" t="s">
        <v>275</v>
      </c>
      <c r="E136" s="19" t="s">
        <v>405</v>
      </c>
      <c r="F136" s="20">
        <v>409.45</v>
      </c>
      <c r="G136" s="19">
        <v>1</v>
      </c>
      <c r="H136" s="20">
        <f>Table1[[#This Row],[Cost Price]]/Table1[[#This Row],[Pcs per Box]]</f>
        <v>409.45</v>
      </c>
      <c r="I136" s="19">
        <v>93</v>
      </c>
      <c r="J136" s="20">
        <f>SUMIF('Stock In'!C:C, Table1[[#This Row],[Medicine ID]], 'Stock In'!E:E) * Table1[[#This Row],[Pcs per Box]]</f>
        <v>2</v>
      </c>
      <c r="K136" s="20">
        <f>SUMIF('Sales Log Table'!C:C, Table1[[#This Row],[Medicine ID]], 'Sales Log Table'!E:E)</f>
        <v>0</v>
      </c>
      <c r="L136" s="20">
        <f>Table1[[#This Row],[Total Received]] - Table1[[#This Row],[Total Sold]]</f>
        <v>2</v>
      </c>
      <c r="M136" s="21">
        <v>1</v>
      </c>
      <c r="N136" s="22">
        <v>46563</v>
      </c>
      <c r="O136" s="23" t="str">
        <f>IF(Table1[[#This Row],[Current Stock]] &lt;= Table1[[#This Row],[Min Stock]], "REORDER NOW", "Good")</f>
        <v>Good</v>
      </c>
      <c r="P136" s="24">
        <f>(Table1[[#This Row],[Unit Price]] - Table1[[#This Row],[Cost Per Pc]]) * Table1[[#This Row],[Total Sold]]</f>
        <v>0</v>
      </c>
      <c r="R136" s="7">
        <f>(Table1[[#This Row],[Total Received]] / Table1[[#This Row],[Pcs per Box]]) * Table1[[#This Row],[Cost Price]]</f>
        <v>818.9</v>
      </c>
      <c r="S136" s="31">
        <f>SUM($R$3:Table1[[#This Row],[Annual Consumption Value]]) / SUM(Table1[Annual Consumption Value])</f>
        <v>0.99301976217501475</v>
      </c>
      <c r="T136" s="29" t="str">
        <f>IF(Table1[[#This Row],[Cumulative %]]&lt;=0.8, "A", IF(Table1[[#This Row],[Cumulative %]]&lt;=0.95, "B", "C"))</f>
        <v>C</v>
      </c>
    </row>
    <row r="137" spans="1:20" x14ac:dyDescent="0.35">
      <c r="A137" s="18" t="s">
        <v>255</v>
      </c>
      <c r="B137" s="19" t="s">
        <v>256</v>
      </c>
      <c r="C137" s="19" t="s">
        <v>382</v>
      </c>
      <c r="D137" s="19" t="s">
        <v>56</v>
      </c>
      <c r="E137" s="19" t="s">
        <v>383</v>
      </c>
      <c r="F137" s="19">
        <v>633.64</v>
      </c>
      <c r="G137" s="19">
        <v>60</v>
      </c>
      <c r="H137" s="19">
        <f>Table1[[#This Row],[Cost Price]]/Table1[[#This Row],[Pcs per Box]]</f>
        <v>10.560666666666666</v>
      </c>
      <c r="I137" s="19">
        <v>12</v>
      </c>
      <c r="J137" s="19">
        <f>SUMIF('Stock In'!C:C, Table1[[#This Row],[Medicine ID]], 'Stock In'!E:E) * Table1[[#This Row],[Pcs per Box]]</f>
        <v>180</v>
      </c>
      <c r="K137" s="19">
        <f>SUMIF('Sales Log Table'!C:C, Table1[[#This Row],[Medicine ID]], 'Sales Log Table'!E:E)</f>
        <v>0</v>
      </c>
      <c r="L137" s="19">
        <f>Table1[[#This Row],[Total Received]] - Table1[[#This Row],[Total Sold]]</f>
        <v>180</v>
      </c>
      <c r="M137" s="21">
        <v>60</v>
      </c>
      <c r="N137" s="22">
        <v>46563</v>
      </c>
      <c r="O137" s="23" t="str">
        <f>IF(Table1[[#This Row],[Current Stock]] &lt;= Table1[[#This Row],[Min Stock]], "REORDER NOW", "Good")</f>
        <v>Good</v>
      </c>
      <c r="P137" s="24">
        <f>(Table1[[#This Row],[Unit Price]] - Table1[[#This Row],[Cost Per Pc]]) * Table1[[#This Row],[Total Sold]]</f>
        <v>0</v>
      </c>
      <c r="R137" s="7">
        <f>(Table1[[#This Row],[Total Received]] / Table1[[#This Row],[Pcs per Box]]) * Table1[[#This Row],[Cost Price]]</f>
        <v>1900.92</v>
      </c>
      <c r="S137" s="31">
        <f>SUM($R$3:Table1[[#This Row],[Annual Consumption Value]]) / SUM(Table1[Annual Consumption Value])</f>
        <v>1</v>
      </c>
      <c r="T137" s="30" t="str">
        <f>IF(Table1[[#This Row],[Cumulative %]]&lt;=0.8, "A", IF(Table1[[#This Row],[Cumulative %]]&lt;=0.95, "B", "C"))</f>
        <v>C</v>
      </c>
    </row>
    <row r="1530" spans="20:20" x14ac:dyDescent="0.35">
      <c r="T1530" s="7" t="s">
        <v>540</v>
      </c>
    </row>
  </sheetData>
  <mergeCells count="1">
    <mergeCell ref="A1:P1"/>
  </mergeCells>
  <phoneticPr fontId="2" type="noConversion"/>
  <conditionalFormatting sqref="O1:O1048576">
    <cfRule type="containsText" dxfId="0" priority="1" operator="containsText" text="REORDER NOW">
      <formula>NOT(ISERROR(SEARCH("REORDER NOW",O1)))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65E9-BC88-46F8-BBA0-541FDF5E62A9}">
  <dimension ref="A1:G15"/>
  <sheetViews>
    <sheetView workbookViewId="0">
      <selection activeCell="A16" sqref="A16"/>
    </sheetView>
  </sheetViews>
  <sheetFormatPr defaultRowHeight="14.5" x14ac:dyDescent="0.35"/>
  <cols>
    <col min="1" max="1" width="17.1796875" customWidth="1"/>
    <col min="2" max="2" width="10.1796875" customWidth="1"/>
    <col min="3" max="3" width="15.26953125" customWidth="1"/>
    <col min="4" max="4" width="18.453125" customWidth="1"/>
    <col min="5" max="5" width="12.26953125" customWidth="1"/>
    <col min="6" max="6" width="14.1796875" customWidth="1"/>
    <col min="7" max="7" width="19.453125" customWidth="1"/>
  </cols>
  <sheetData>
    <row r="1" spans="1:7" ht="21" x14ac:dyDescent="0.5">
      <c r="A1" s="35" t="s">
        <v>148</v>
      </c>
      <c r="B1" s="35"/>
      <c r="C1" s="35"/>
      <c r="D1" s="35"/>
      <c r="E1" s="35"/>
      <c r="F1" s="35"/>
      <c r="G1" s="35"/>
    </row>
    <row r="2" spans="1:7" x14ac:dyDescent="0.35">
      <c r="A2" s="4" t="s">
        <v>149</v>
      </c>
      <c r="B2" s="4" t="s">
        <v>144</v>
      </c>
      <c r="C2" s="4" t="s">
        <v>1</v>
      </c>
      <c r="D2" s="4" t="s">
        <v>228</v>
      </c>
      <c r="E2" s="4" t="s">
        <v>145</v>
      </c>
      <c r="F2" s="4" t="s">
        <v>146</v>
      </c>
      <c r="G2" s="4" t="s">
        <v>147</v>
      </c>
    </row>
    <row r="3" spans="1:7" x14ac:dyDescent="0.35">
      <c r="A3" t="s">
        <v>247</v>
      </c>
      <c r="B3" t="s">
        <v>224</v>
      </c>
      <c r="C3" t="str">
        <f>_xlfn.XLOOKUP(Table4[[#This Row],[Medicine Name]], 'Medicine Master Table'!B:B, 'Medicine Master Table'!A:A, "Not Found")</f>
        <v>PA-001</v>
      </c>
      <c r="D3" t="s">
        <v>6</v>
      </c>
      <c r="E3">
        <v>30</v>
      </c>
      <c r="F3" s="5">
        <f>_xlfn.XLOOKUP(Table4[[#This Row],[Medicine ID]], 'Medicine Master Table'!A:A, 'Medicine Master Table'!I:I, 0) * Table4[[#This Row],[Qty Sold]]</f>
        <v>36</v>
      </c>
      <c r="G3" t="s">
        <v>246</v>
      </c>
    </row>
    <row r="4" spans="1:7" x14ac:dyDescent="0.35">
      <c r="A4" t="s">
        <v>247</v>
      </c>
      <c r="B4" t="s">
        <v>224</v>
      </c>
      <c r="C4" t="str">
        <f>_xlfn.XLOOKUP(Table4[[#This Row],[Medicine Name]], 'Medicine Master Table'!B:B, 'Medicine Master Table'!A:A, "Not Found")</f>
        <v>PA-002</v>
      </c>
      <c r="D4" t="s">
        <v>10</v>
      </c>
      <c r="E4">
        <v>10</v>
      </c>
      <c r="F4" s="5">
        <f>_xlfn.XLOOKUP(Table4[[#This Row],[Medicine ID]], 'Medicine Master Table'!A:A, 'Medicine Master Table'!I:I, 0) * Table4[[#This Row],[Qty Sold]]</f>
        <v>25</v>
      </c>
      <c r="G4" t="s">
        <v>246</v>
      </c>
    </row>
    <row r="5" spans="1:7" x14ac:dyDescent="0.35">
      <c r="A5" t="s">
        <v>536</v>
      </c>
      <c r="B5" t="s">
        <v>537</v>
      </c>
      <c r="C5" t="str">
        <f>_xlfn.XLOOKUP(Table4[[#This Row],[Medicine Name]], 'Medicine Master Table'!B:B, 'Medicine Master Table'!A:A, "Not Found")</f>
        <v>NE-004</v>
      </c>
      <c r="D5" t="s">
        <v>67</v>
      </c>
      <c r="E5">
        <v>10</v>
      </c>
      <c r="F5" s="5">
        <f>_xlfn.XLOOKUP(Table4[[#This Row],[Medicine ID]], 'Medicine Master Table'!A:A, 'Medicine Master Table'!I:I, 0) * Table4[[#This Row],[Qty Sold]]</f>
        <v>50</v>
      </c>
      <c r="G5" t="s">
        <v>246</v>
      </c>
    </row>
    <row r="6" spans="1:7" x14ac:dyDescent="0.35">
      <c r="A6" t="s">
        <v>536</v>
      </c>
      <c r="B6" t="s">
        <v>537</v>
      </c>
      <c r="C6" t="str">
        <f>_xlfn.XLOOKUP(Table4[[#This Row],[Medicine Name]], 'Medicine Master Table'!B:B, 'Medicine Master Table'!A:A, "Not Found")</f>
        <v>GA-004</v>
      </c>
      <c r="D6" t="s">
        <v>39</v>
      </c>
      <c r="E6">
        <v>10</v>
      </c>
      <c r="F6" s="5">
        <f>_xlfn.XLOOKUP(Table4[[#This Row],[Medicine ID]], 'Medicine Master Table'!A:A, 'Medicine Master Table'!I:I, 0) * Table4[[#This Row],[Qty Sold]]</f>
        <v>90</v>
      </c>
      <c r="G6" t="s">
        <v>246</v>
      </c>
    </row>
    <row r="7" spans="1:7" x14ac:dyDescent="0.35">
      <c r="A7" t="s">
        <v>536</v>
      </c>
      <c r="B7" t="s">
        <v>537</v>
      </c>
      <c r="C7" t="str">
        <f>_xlfn.XLOOKUP(Table4[[#This Row],[Medicine Name]], 'Medicine Master Table'!B:B, 'Medicine Master Table'!A:A, "Not Found")</f>
        <v>GA-003</v>
      </c>
      <c r="D7" t="s">
        <v>38</v>
      </c>
      <c r="E7">
        <v>10</v>
      </c>
      <c r="F7" s="5">
        <f>_xlfn.XLOOKUP(Table4[[#This Row],[Medicine ID]], 'Medicine Master Table'!A:A, 'Medicine Master Table'!I:I, 0) * Table4[[#This Row],[Qty Sold]]</f>
        <v>60</v>
      </c>
      <c r="G7" t="s">
        <v>246</v>
      </c>
    </row>
    <row r="8" spans="1:7" x14ac:dyDescent="0.35">
      <c r="A8" t="s">
        <v>536</v>
      </c>
      <c r="B8" t="s">
        <v>537</v>
      </c>
      <c r="C8" s="25" t="str">
        <f>_xlfn.XLOOKUP(Table4[[#This Row],[Medicine Name]], 'Medicine Master Table'!B:B, 'Medicine Master Table'!A:A, "Not Found")</f>
        <v>AL-016</v>
      </c>
      <c r="D8" s="19" t="s">
        <v>432</v>
      </c>
      <c r="E8" s="25">
        <v>10</v>
      </c>
      <c r="F8" s="38">
        <f>_xlfn.XLOOKUP(Table4[[#This Row],[Medicine ID]], 'Medicine Master Table'!A:A, 'Medicine Master Table'!I:I, 0) * Table4[[#This Row],[Qty Sold]]</f>
        <v>150</v>
      </c>
      <c r="G8" t="s">
        <v>246</v>
      </c>
    </row>
    <row r="9" spans="1:7" x14ac:dyDescent="0.35">
      <c r="A9" t="s">
        <v>536</v>
      </c>
      <c r="B9" t="s">
        <v>537</v>
      </c>
      <c r="C9" s="6" t="str">
        <f>_xlfn.XLOOKUP(Table4[[#This Row],[Medicine Name]], 'Medicine Master Table'!B:B, 'Medicine Master Table'!A:A, "Not Found")</f>
        <v>NE-001</v>
      </c>
      <c r="D9" t="s">
        <v>63</v>
      </c>
      <c r="E9">
        <v>10</v>
      </c>
      <c r="F9" s="5">
        <f>_xlfn.XLOOKUP(Table4[[#This Row],[Medicine ID]], 'Medicine Master Table'!A:A, 'Medicine Master Table'!I:I, 0) * Table4[[#This Row],[Qty Sold]]</f>
        <v>50</v>
      </c>
      <c r="G9" t="s">
        <v>246</v>
      </c>
    </row>
    <row r="10" spans="1:7" x14ac:dyDescent="0.35">
      <c r="A10" t="s">
        <v>536</v>
      </c>
      <c r="B10" t="s">
        <v>537</v>
      </c>
      <c r="C10" s="6" t="str">
        <f>_xlfn.XLOOKUP(Table4[[#This Row],[Medicine Name]], 'Medicine Master Table'!B:B, 'Medicine Master Table'!A:A, "Not Found")</f>
        <v>GA-005</v>
      </c>
      <c r="D10" t="s">
        <v>440</v>
      </c>
      <c r="E10">
        <v>14</v>
      </c>
      <c r="F10" s="5">
        <f>_xlfn.XLOOKUP(Table4[[#This Row],[Medicine ID]], 'Medicine Master Table'!A:A, 'Medicine Master Table'!I:I, 0) * Table4[[#This Row],[Qty Sold]]</f>
        <v>98</v>
      </c>
      <c r="G10" t="s">
        <v>246</v>
      </c>
    </row>
    <row r="11" spans="1:7" x14ac:dyDescent="0.35">
      <c r="A11" t="s">
        <v>536</v>
      </c>
      <c r="B11" t="s">
        <v>537</v>
      </c>
      <c r="C11" s="6" t="str">
        <f>_xlfn.XLOOKUP(Table4[[#This Row],[Medicine Name]], 'Medicine Master Table'!B:B, 'Medicine Master Table'!A:A, "Not Found")</f>
        <v>AL-005</v>
      </c>
      <c r="D11" t="s">
        <v>94</v>
      </c>
      <c r="E11">
        <v>10</v>
      </c>
      <c r="F11" s="5">
        <f>_xlfn.XLOOKUP(Table4[[#This Row],[Medicine ID]], 'Medicine Master Table'!A:A, 'Medicine Master Table'!I:I, 0) * Table4[[#This Row],[Qty Sold]]</f>
        <v>30</v>
      </c>
      <c r="G11" t="s">
        <v>246</v>
      </c>
    </row>
    <row r="12" spans="1:7" x14ac:dyDescent="0.35">
      <c r="A12" t="s">
        <v>536</v>
      </c>
      <c r="B12" t="s">
        <v>537</v>
      </c>
      <c r="C12" s="6" t="str">
        <f>_xlfn.XLOOKUP(Table4[[#This Row],[Medicine Name]], 'Medicine Master Table'!B:B, 'Medicine Master Table'!A:A, "Not Found")</f>
        <v>AN-005</v>
      </c>
      <c r="D12" t="s">
        <v>78</v>
      </c>
      <c r="E12">
        <v>3</v>
      </c>
      <c r="F12" s="5">
        <f>_xlfn.XLOOKUP(Table4[[#This Row],[Medicine ID]], 'Medicine Master Table'!A:A, 'Medicine Master Table'!I:I, 0) * Table4[[#This Row],[Qty Sold]]</f>
        <v>120</v>
      </c>
      <c r="G12" t="s">
        <v>246</v>
      </c>
    </row>
    <row r="13" spans="1:7" x14ac:dyDescent="0.35">
      <c r="A13" t="s">
        <v>539</v>
      </c>
      <c r="B13" t="s">
        <v>537</v>
      </c>
      <c r="C13" s="6" t="str">
        <f>_xlfn.XLOOKUP(Table4[[#This Row],[Medicine Name]], 'Medicine Master Table'!B:B, 'Medicine Master Table'!A:A, "Not Found")</f>
        <v>AL-015</v>
      </c>
      <c r="D13" t="s">
        <v>263</v>
      </c>
      <c r="E13">
        <v>10</v>
      </c>
      <c r="F13" s="5">
        <f>_xlfn.XLOOKUP(Table4[[#This Row],[Medicine ID]], 'Medicine Master Table'!A:A, 'Medicine Master Table'!I:I, 0) * Table4[[#This Row],[Qty Sold]]</f>
        <v>100</v>
      </c>
      <c r="G13" t="s">
        <v>246</v>
      </c>
    </row>
    <row r="14" spans="1:7" x14ac:dyDescent="0.35">
      <c r="A14" t="s">
        <v>539</v>
      </c>
      <c r="B14" t="s">
        <v>537</v>
      </c>
      <c r="C14" s="6" t="str">
        <f>_xlfn.XLOOKUP(Table4[[#This Row],[Medicine Name]], 'Medicine Master Table'!B:B, 'Medicine Master Table'!A:A, "Not Found")</f>
        <v>GA-003</v>
      </c>
      <c r="D14" t="s">
        <v>38</v>
      </c>
      <c r="E14">
        <v>10</v>
      </c>
      <c r="F14" s="5">
        <f>_xlfn.XLOOKUP(Table4[[#This Row],[Medicine ID]], 'Medicine Master Table'!A:A, 'Medicine Master Table'!I:I, 0) * Table4[[#This Row],[Qty Sold]]</f>
        <v>60</v>
      </c>
      <c r="G14" t="s">
        <v>246</v>
      </c>
    </row>
    <row r="15" spans="1:7" x14ac:dyDescent="0.35">
      <c r="A15" t="s">
        <v>541</v>
      </c>
      <c r="B15" t="s">
        <v>537</v>
      </c>
      <c r="C15" s="6" t="str">
        <f>_xlfn.XLOOKUP(Table4[[#This Row],[Medicine Name]], 'Medicine Master Table'!B:B, 'Medicine Master Table'!A:A, "Not Found")</f>
        <v>CAL-007</v>
      </c>
      <c r="D15" t="s">
        <v>467</v>
      </c>
      <c r="E15">
        <v>50</v>
      </c>
      <c r="F15" s="5">
        <f>_xlfn.XLOOKUP(Table4[[#This Row],[Medicine ID]], 'Medicine Master Table'!A:A, 'Medicine Master Table'!I:I, 0) * Table4[[#This Row],[Qty Sold]]</f>
        <v>550</v>
      </c>
      <c r="G15" t="s">
        <v>246</v>
      </c>
    </row>
  </sheetData>
  <mergeCells count="1">
    <mergeCell ref="A1:G1"/>
  </mergeCells>
  <phoneticPr fontId="2" type="noConversion"/>
  <pageMargins left="0.7" right="0.7" top="0.75" bottom="0.75" header="0.3" footer="0.3"/>
  <ignoredErrors>
    <ignoredError sqref="D3:D8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8820-FB5E-449E-AE97-64444C9748AC}">
  <dimension ref="A1:G124"/>
  <sheetViews>
    <sheetView topLeftCell="A2" zoomScale="81" zoomScaleNormal="110" workbookViewId="0">
      <pane ySplit="1" topLeftCell="A102" activePane="bottomLeft" state="frozen"/>
      <selection activeCell="C2" sqref="C2"/>
      <selection pane="bottomLeft" activeCell="E111" sqref="E111"/>
    </sheetView>
  </sheetViews>
  <sheetFormatPr defaultRowHeight="14.5" x14ac:dyDescent="0.35"/>
  <cols>
    <col min="1" max="1" width="12.36328125" customWidth="1"/>
    <col min="2" max="2" width="14.90625" customWidth="1"/>
    <col min="3" max="3" width="15.26953125" customWidth="1"/>
    <col min="4" max="4" width="18.453125" customWidth="1"/>
    <col min="5" max="5" width="16.26953125" customWidth="1"/>
    <col min="6" max="6" width="13.81640625" customWidth="1"/>
    <col min="7" max="7" width="17.81640625" customWidth="1"/>
    <col min="12" max="12" width="18.453125" bestFit="1" customWidth="1"/>
  </cols>
  <sheetData>
    <row r="1" spans="1:7" ht="21" x14ac:dyDescent="0.5">
      <c r="A1" s="36" t="s">
        <v>155</v>
      </c>
      <c r="B1" s="37"/>
      <c r="C1" s="37"/>
      <c r="D1" s="37"/>
      <c r="E1" s="37"/>
      <c r="F1" s="37"/>
      <c r="G1" s="37"/>
    </row>
    <row r="2" spans="1:7" x14ac:dyDescent="0.35">
      <c r="A2" s="3" t="s">
        <v>151</v>
      </c>
      <c r="B2" s="1" t="s">
        <v>144</v>
      </c>
      <c r="C2" s="1" t="s">
        <v>1</v>
      </c>
      <c r="D2" s="2" t="s">
        <v>228</v>
      </c>
      <c r="E2" s="1" t="s">
        <v>152</v>
      </c>
      <c r="F2" s="1" t="s">
        <v>153</v>
      </c>
      <c r="G2" s="1" t="s">
        <v>154</v>
      </c>
    </row>
    <row r="3" spans="1:7" x14ac:dyDescent="0.35">
      <c r="A3" t="s">
        <v>159</v>
      </c>
      <c r="B3" t="s">
        <v>160</v>
      </c>
      <c r="C3" t="str">
        <f>_xlfn.XLOOKUP(Table5[[#This Row],[Medicine Name]], 'Medicine Master Table'!B:B, 'Medicine Master Table'!A:A, "Not Found")</f>
        <v>PA-001</v>
      </c>
      <c r="D3" t="s">
        <v>6</v>
      </c>
      <c r="E3">
        <v>4</v>
      </c>
      <c r="F3">
        <f>_xlfn.XLOOKUP(Table5[[#This Row],[Medicine ID]], 'Medicine Master Table'!A:A, 'Medicine Master Table'!F:F, 0)</f>
        <v>550.80000000000007</v>
      </c>
      <c r="G3" t="s">
        <v>161</v>
      </c>
    </row>
    <row r="4" spans="1:7" x14ac:dyDescent="0.35">
      <c r="A4" t="s">
        <v>166</v>
      </c>
      <c r="B4" t="s">
        <v>224</v>
      </c>
      <c r="C4" t="str">
        <f>_xlfn.XLOOKUP(Table5[[#This Row],[Medicine Name]], 'Medicine Master Table'!B:B, 'Medicine Master Table'!A:A, "Not Found")</f>
        <v>PA-002</v>
      </c>
      <c r="D4" t="s">
        <v>10</v>
      </c>
      <c r="E4">
        <v>2</v>
      </c>
      <c r="F4">
        <f>_xlfn.XLOOKUP(Table5[[#This Row],[Medicine ID]], 'Medicine Master Table'!A:A, 'Medicine Master Table'!F:F, 0)</f>
        <v>297</v>
      </c>
      <c r="G4" t="s">
        <v>161</v>
      </c>
    </row>
    <row r="5" spans="1:7" x14ac:dyDescent="0.35">
      <c r="A5" t="s">
        <v>167</v>
      </c>
      <c r="B5" t="s">
        <v>225</v>
      </c>
      <c r="C5" t="str">
        <f>_xlfn.XLOOKUP(Table5[[#This Row],[Medicine Name]], 'Medicine Master Table'!B:B, 'Medicine Master Table'!A:A, "Not Found")</f>
        <v>PA-003</v>
      </c>
      <c r="D5" t="s">
        <v>17</v>
      </c>
      <c r="E5">
        <v>4</v>
      </c>
      <c r="F5">
        <f>_xlfn.XLOOKUP(Table5[[#This Row],[Medicine ID]], 'Medicine Master Table'!A:A, 'Medicine Master Table'!F:F, 0)</f>
        <v>315.90000000000003</v>
      </c>
      <c r="G5" t="s">
        <v>161</v>
      </c>
    </row>
    <row r="6" spans="1:7" x14ac:dyDescent="0.35">
      <c r="A6" t="s">
        <v>168</v>
      </c>
      <c r="B6" t="s">
        <v>226</v>
      </c>
      <c r="C6" t="str">
        <f>_xlfn.XLOOKUP(Table5[[#This Row],[Medicine Name]], 'Medicine Master Table'!B:B, 'Medicine Master Table'!A:A, "Not Found")</f>
        <v>PA-004</v>
      </c>
      <c r="D6" t="s">
        <v>19</v>
      </c>
      <c r="E6">
        <v>6</v>
      </c>
      <c r="F6">
        <f>_xlfn.XLOOKUP(Table5[[#This Row],[Medicine ID]], 'Medicine Master Table'!A:A, 'Medicine Master Table'!F:F, 0)</f>
        <v>259.2</v>
      </c>
      <c r="G6" t="s">
        <v>161</v>
      </c>
    </row>
    <row r="7" spans="1:7" x14ac:dyDescent="0.35">
      <c r="A7" t="s">
        <v>169</v>
      </c>
      <c r="B7" t="s">
        <v>226</v>
      </c>
      <c r="C7" t="str">
        <f>_xlfn.XLOOKUP(Table5[[#This Row],[Medicine Name]], 'Medicine Master Table'!B:B, 'Medicine Master Table'!A:A, "Not Found")</f>
        <v>PA-005</v>
      </c>
      <c r="D7" t="s">
        <v>20</v>
      </c>
      <c r="E7">
        <v>4</v>
      </c>
      <c r="F7">
        <f>_xlfn.XLOOKUP(Table5[[#This Row],[Medicine ID]], 'Medicine Master Table'!A:A, 'Medicine Master Table'!F:F, 0)</f>
        <v>405</v>
      </c>
      <c r="G7" t="s">
        <v>161</v>
      </c>
    </row>
    <row r="8" spans="1:7" x14ac:dyDescent="0.35">
      <c r="A8" t="s">
        <v>170</v>
      </c>
      <c r="B8" t="s">
        <v>226</v>
      </c>
      <c r="C8" t="str">
        <f>_xlfn.XLOOKUP(Table5[[#This Row],[Medicine Name]], 'Medicine Master Table'!B:B, 'Medicine Master Table'!A:A, "Not Found")</f>
        <v>PA-006</v>
      </c>
      <c r="D8" t="s">
        <v>22</v>
      </c>
      <c r="E8">
        <v>3</v>
      </c>
      <c r="F8">
        <f>_xlfn.XLOOKUP(Table5[[#This Row],[Medicine ID]], 'Medicine Master Table'!A:A, 'Medicine Master Table'!F:F, 0)</f>
        <v>270</v>
      </c>
      <c r="G8" t="s">
        <v>236</v>
      </c>
    </row>
    <row r="9" spans="1:7" x14ac:dyDescent="0.35">
      <c r="A9" t="s">
        <v>171</v>
      </c>
      <c r="B9" t="s">
        <v>226</v>
      </c>
      <c r="C9" t="str">
        <f>_xlfn.XLOOKUP(Table5[[#This Row],[Medicine Name]], 'Medicine Master Table'!B:B, 'Medicine Master Table'!A:A, "Not Found")</f>
        <v>PA-007</v>
      </c>
      <c r="D9" t="s">
        <v>25</v>
      </c>
      <c r="E9">
        <v>7</v>
      </c>
      <c r="F9">
        <f>_xlfn.XLOOKUP(Table5[[#This Row],[Medicine ID]], 'Medicine Master Table'!A:A, 'Medicine Master Table'!F:F, 0)</f>
        <v>360</v>
      </c>
      <c r="G9" t="s">
        <v>236</v>
      </c>
    </row>
    <row r="10" spans="1:7" x14ac:dyDescent="0.35">
      <c r="A10" t="s">
        <v>172</v>
      </c>
      <c r="B10" t="s">
        <v>226</v>
      </c>
      <c r="C10" t="str">
        <f>_xlfn.XLOOKUP(Table5[[#This Row],[Medicine Name]], 'Medicine Master Table'!B:B, 'Medicine Master Table'!A:A, "Not Found")</f>
        <v>PA-008</v>
      </c>
      <c r="D10" t="s">
        <v>26</v>
      </c>
      <c r="E10">
        <v>8</v>
      </c>
      <c r="F10">
        <f>_xlfn.XLOOKUP(Table5[[#This Row],[Medicine ID]], 'Medicine Master Table'!A:A, 'Medicine Master Table'!F:F, 0)</f>
        <v>540</v>
      </c>
      <c r="G10" t="s">
        <v>223</v>
      </c>
    </row>
    <row r="11" spans="1:7" x14ac:dyDescent="0.35">
      <c r="A11" t="s">
        <v>173</v>
      </c>
      <c r="B11" t="s">
        <v>226</v>
      </c>
      <c r="C11" t="str">
        <f>_xlfn.XLOOKUP(Table5[[#This Row],[Medicine Name]], 'Medicine Master Table'!B:B, 'Medicine Master Table'!A:A, "Not Found")</f>
        <v>PA-009</v>
      </c>
      <c r="D11" t="s">
        <v>27</v>
      </c>
      <c r="E11">
        <v>3</v>
      </c>
      <c r="F11">
        <f>_xlfn.XLOOKUP(Table5[[#This Row],[Medicine ID]], 'Medicine Master Table'!A:A, 'Medicine Master Table'!F:F, 0)</f>
        <v>451.79999999999995</v>
      </c>
      <c r="G11" t="s">
        <v>223</v>
      </c>
    </row>
    <row r="12" spans="1:7" x14ac:dyDescent="0.35">
      <c r="A12" t="s">
        <v>174</v>
      </c>
      <c r="B12" t="s">
        <v>226</v>
      </c>
      <c r="C12" t="str">
        <f>_xlfn.XLOOKUP(Table5[[#This Row],[Medicine Name]], 'Medicine Master Table'!B:B, 'Medicine Master Table'!A:A, "Not Found")</f>
        <v>PA-010</v>
      </c>
      <c r="D12" t="s">
        <v>28</v>
      </c>
      <c r="E12">
        <v>1</v>
      </c>
      <c r="F12">
        <f>_xlfn.XLOOKUP(Table5[[#This Row],[Medicine ID]], 'Medicine Master Table'!A:A, 'Medicine Master Table'!F:F, 0)</f>
        <v>405</v>
      </c>
      <c r="G12" t="s">
        <v>223</v>
      </c>
    </row>
    <row r="13" spans="1:7" x14ac:dyDescent="0.35">
      <c r="A13" t="s">
        <v>175</v>
      </c>
      <c r="B13" t="s">
        <v>226</v>
      </c>
      <c r="C13" t="str">
        <f>_xlfn.XLOOKUP(Table5[[#This Row],[Medicine Name]], 'Medicine Master Table'!B:B, 'Medicine Master Table'!A:A, "Not Found")</f>
        <v>GA-001</v>
      </c>
      <c r="D13" t="s">
        <v>283</v>
      </c>
      <c r="E13">
        <v>6</v>
      </c>
      <c r="F13">
        <f>_xlfn.XLOOKUP(Table5[[#This Row],[Medicine ID]], 'Medicine Master Table'!A:A, 'Medicine Master Table'!F:F, 0)</f>
        <v>1584.1</v>
      </c>
      <c r="G13" t="s">
        <v>227</v>
      </c>
    </row>
    <row r="14" spans="1:7" x14ac:dyDescent="0.35">
      <c r="A14" t="s">
        <v>176</v>
      </c>
      <c r="B14" t="s">
        <v>226</v>
      </c>
      <c r="C14" t="str">
        <f>_xlfn.XLOOKUP(Table5[[#This Row],[Medicine Name]], 'Medicine Master Table'!B:B, 'Medicine Master Table'!A:A, "Not Found")</f>
        <v>GA-002</v>
      </c>
      <c r="D14" t="s">
        <v>284</v>
      </c>
      <c r="E14">
        <v>5</v>
      </c>
      <c r="F14">
        <f>_xlfn.XLOOKUP(Table5[[#This Row],[Medicine ID]], 'Medicine Master Table'!A:A, 'Medicine Master Table'!F:F, 0)</f>
        <v>352.02</v>
      </c>
      <c r="G14" t="s">
        <v>223</v>
      </c>
    </row>
    <row r="15" spans="1:7" x14ac:dyDescent="0.35">
      <c r="A15" t="s">
        <v>177</v>
      </c>
      <c r="B15" t="s">
        <v>226</v>
      </c>
      <c r="C15" t="str">
        <f>_xlfn.XLOOKUP(Table5[[#This Row],[Medicine Name]], 'Medicine Master Table'!B:B, 'Medicine Master Table'!A:A, "Not Found")</f>
        <v>GA-003</v>
      </c>
      <c r="D15" t="s">
        <v>38</v>
      </c>
      <c r="E15">
        <v>7</v>
      </c>
      <c r="F15">
        <f>_xlfn.XLOOKUP(Table5[[#This Row],[Medicine ID]], 'Medicine Master Table'!A:A, 'Medicine Master Table'!F:F, 0)</f>
        <v>648</v>
      </c>
      <c r="G15" t="s">
        <v>229</v>
      </c>
    </row>
    <row r="16" spans="1:7" x14ac:dyDescent="0.35">
      <c r="A16" t="s">
        <v>178</v>
      </c>
      <c r="B16" t="s">
        <v>226</v>
      </c>
      <c r="C16" t="str">
        <f>_xlfn.XLOOKUP(Table5[[#This Row],[Medicine Name]], 'Medicine Master Table'!B:B, 'Medicine Master Table'!A:A, "Not Found")</f>
        <v>GA-004</v>
      </c>
      <c r="D16" t="s">
        <v>39</v>
      </c>
      <c r="E16">
        <v>4</v>
      </c>
      <c r="F16">
        <f>_xlfn.XLOOKUP(Table5[[#This Row],[Medicine ID]], 'Medicine Master Table'!A:A, 'Medicine Master Table'!F:F, 0)</f>
        <v>810</v>
      </c>
      <c r="G16" t="s">
        <v>230</v>
      </c>
    </row>
    <row r="17" spans="1:7" x14ac:dyDescent="0.35">
      <c r="A17" t="s">
        <v>179</v>
      </c>
      <c r="B17" t="s">
        <v>226</v>
      </c>
      <c r="C17" t="str">
        <f>_xlfn.XLOOKUP(Table5[[#This Row],[Medicine Name]], 'Medicine Master Table'!B:B, 'Medicine Master Table'!A:A, "Not Found")</f>
        <v>GA-005</v>
      </c>
      <c r="D17" t="s">
        <v>440</v>
      </c>
      <c r="E17">
        <v>5</v>
      </c>
      <c r="F17">
        <f>_xlfn.XLOOKUP(Table5[[#This Row],[Medicine ID]], 'Medicine Master Table'!A:A, 'Medicine Master Table'!F:F, 0)</f>
        <v>863</v>
      </c>
      <c r="G17" t="s">
        <v>227</v>
      </c>
    </row>
    <row r="18" spans="1:7" x14ac:dyDescent="0.35">
      <c r="A18" t="s">
        <v>180</v>
      </c>
      <c r="B18" t="s">
        <v>226</v>
      </c>
      <c r="C18" t="str">
        <f>_xlfn.XLOOKUP(Table5[[#This Row],[Medicine Name]], 'Medicine Master Table'!B:B, 'Medicine Master Table'!A:A, "Not Found")</f>
        <v>GA-006</v>
      </c>
      <c r="D18" t="s">
        <v>40</v>
      </c>
      <c r="E18">
        <v>4</v>
      </c>
      <c r="F18">
        <f>_xlfn.XLOOKUP(Table5[[#This Row],[Medicine ID]], 'Medicine Master Table'!A:A, 'Medicine Master Table'!F:F, 0)</f>
        <v>630</v>
      </c>
      <c r="G18" t="s">
        <v>231</v>
      </c>
    </row>
    <row r="19" spans="1:7" x14ac:dyDescent="0.35">
      <c r="A19" t="s">
        <v>181</v>
      </c>
      <c r="B19" t="s">
        <v>226</v>
      </c>
      <c r="C19" t="str">
        <f>_xlfn.XLOOKUP(Table5[[#This Row],[Medicine Name]], 'Medicine Master Table'!B:B, 'Medicine Master Table'!A:A, "Not Found")</f>
        <v>GA-007</v>
      </c>
      <c r="D19" t="s">
        <v>271</v>
      </c>
      <c r="E19">
        <v>6</v>
      </c>
      <c r="F19">
        <f>_xlfn.XLOOKUP(Table5[[#This Row],[Medicine ID]], 'Medicine Master Table'!A:A, 'Medicine Master Table'!F:F, 0)</f>
        <v>704.05</v>
      </c>
      <c r="G19" t="s">
        <v>230</v>
      </c>
    </row>
    <row r="20" spans="1:7" x14ac:dyDescent="0.35">
      <c r="A20" t="s">
        <v>182</v>
      </c>
      <c r="B20" t="s">
        <v>226</v>
      </c>
      <c r="C20" t="str">
        <f>_xlfn.XLOOKUP(Table5[[#This Row],[Medicine Name]], 'Medicine Master Table'!B:B, 'Medicine Master Table'!A:A, "Not Found")</f>
        <v>GA-008</v>
      </c>
      <c r="D20" t="s">
        <v>449</v>
      </c>
      <c r="E20">
        <v>9</v>
      </c>
      <c r="F20">
        <f>_xlfn.XLOOKUP(Table5[[#This Row],[Medicine ID]], 'Medicine Master Table'!A:A, 'Medicine Master Table'!F:F, 0)</f>
        <v>616.35</v>
      </c>
      <c r="G20" t="s">
        <v>231</v>
      </c>
    </row>
    <row r="21" spans="1:7" x14ac:dyDescent="0.35">
      <c r="A21" t="s">
        <v>183</v>
      </c>
      <c r="B21" t="s">
        <v>226</v>
      </c>
      <c r="C21" t="str">
        <f>_xlfn.XLOOKUP(Table5[[#This Row],[Medicine Name]], 'Medicine Master Table'!B:B, 'Medicine Master Table'!A:A, "Not Found")</f>
        <v>GA-009</v>
      </c>
      <c r="D21" t="s">
        <v>41</v>
      </c>
      <c r="E21">
        <v>4</v>
      </c>
      <c r="F21">
        <f>_xlfn.XLOOKUP(Table5[[#This Row],[Medicine ID]], 'Medicine Master Table'!A:A, 'Medicine Master Table'!F:F, 0)</f>
        <v>495</v>
      </c>
      <c r="G21" t="s">
        <v>232</v>
      </c>
    </row>
    <row r="22" spans="1:7" x14ac:dyDescent="0.35">
      <c r="A22" t="s">
        <v>184</v>
      </c>
      <c r="B22" t="s">
        <v>226</v>
      </c>
      <c r="C22" t="str">
        <f>_xlfn.XLOOKUP(Table5[[#This Row],[Medicine Name]], 'Medicine Master Table'!B:B, 'Medicine Master Table'!A:A, "Not Found")</f>
        <v>GA-010</v>
      </c>
      <c r="D22" t="s">
        <v>60</v>
      </c>
      <c r="E22">
        <v>13</v>
      </c>
      <c r="F22">
        <f>_xlfn.XLOOKUP(Table5[[#This Row],[Medicine ID]], 'Medicine Master Table'!A:A, 'Medicine Master Table'!F:F, 0)</f>
        <v>594</v>
      </c>
      <c r="G22" t="s">
        <v>233</v>
      </c>
    </row>
    <row r="23" spans="1:7" x14ac:dyDescent="0.35">
      <c r="A23" t="s">
        <v>185</v>
      </c>
      <c r="B23" t="s">
        <v>226</v>
      </c>
      <c r="C23" t="str">
        <f>_xlfn.XLOOKUP(Table5[[#This Row],[Medicine Name]], 'Medicine Master Table'!B:B, 'Medicine Master Table'!A:A, "Not Found")</f>
        <v>GA-011</v>
      </c>
      <c r="D23" t="s">
        <v>52</v>
      </c>
      <c r="E23">
        <v>3</v>
      </c>
      <c r="F23">
        <f>_xlfn.XLOOKUP(Table5[[#This Row],[Medicine ID]], 'Medicine Master Table'!A:A, 'Medicine Master Table'!F:F, 0)</f>
        <v>434.70000000000005</v>
      </c>
      <c r="G23" t="s">
        <v>234</v>
      </c>
    </row>
    <row r="24" spans="1:7" x14ac:dyDescent="0.35">
      <c r="A24" t="s">
        <v>186</v>
      </c>
      <c r="B24" t="s">
        <v>226</v>
      </c>
      <c r="C24" t="str">
        <f>_xlfn.XLOOKUP(Table5[[#This Row],[Medicine Name]], 'Medicine Master Table'!B:B, 'Medicine Master Table'!A:A, "Not Found")</f>
        <v>GA-012</v>
      </c>
      <c r="D24" t="s">
        <v>53</v>
      </c>
      <c r="E24">
        <v>2</v>
      </c>
      <c r="F24">
        <f>_xlfn.XLOOKUP(Table5[[#This Row],[Medicine ID]], 'Medicine Master Table'!A:A, 'Medicine Master Table'!F:F, 0)</f>
        <v>181.8</v>
      </c>
      <c r="G24" t="s">
        <v>161</v>
      </c>
    </row>
    <row r="25" spans="1:7" x14ac:dyDescent="0.35">
      <c r="A25" t="s">
        <v>187</v>
      </c>
      <c r="B25" t="s">
        <v>226</v>
      </c>
      <c r="C25" t="str">
        <f>_xlfn.XLOOKUP(Table5[[#This Row],[Medicine Name]], 'Medicine Master Table'!B:B, 'Medicine Master Table'!A:A, "Not Found")</f>
        <v>GA-013</v>
      </c>
      <c r="D25" t="s">
        <v>61</v>
      </c>
      <c r="E25">
        <v>6</v>
      </c>
      <c r="F25">
        <f>_xlfn.XLOOKUP(Table5[[#This Row],[Medicine ID]], 'Medicine Master Table'!A:A, 'Medicine Master Table'!F:F, 0)</f>
        <v>540</v>
      </c>
      <c r="G25" t="s">
        <v>161</v>
      </c>
    </row>
    <row r="26" spans="1:7" x14ac:dyDescent="0.35">
      <c r="A26" t="s">
        <v>188</v>
      </c>
      <c r="B26" t="s">
        <v>226</v>
      </c>
      <c r="C26" t="str">
        <f>_xlfn.XLOOKUP(Table5[[#This Row],[Medicine Name]], 'Medicine Master Table'!B:B, 'Medicine Master Table'!A:A, "Not Found")</f>
        <v>GA-014</v>
      </c>
      <c r="D26" t="s">
        <v>55</v>
      </c>
      <c r="E26">
        <v>1</v>
      </c>
      <c r="F26" s="6">
        <f>_xlfn.XLOOKUP(Table5[[#This Row],[Medicine ID]], 'Medicine Master Table'!A:A, 'Medicine Master Table'!F:F, 0)</f>
        <v>472.5</v>
      </c>
      <c r="G26" t="s">
        <v>235</v>
      </c>
    </row>
    <row r="27" spans="1:7" x14ac:dyDescent="0.35">
      <c r="A27" t="s">
        <v>189</v>
      </c>
      <c r="B27" t="s">
        <v>226</v>
      </c>
      <c r="C27" t="str">
        <f>_xlfn.XLOOKUP(Table5[[#This Row],[Medicine Name]], 'Medicine Master Table'!B:B, 'Medicine Master Table'!A:A, "Not Found")</f>
        <v>AL-001</v>
      </c>
      <c r="D27" t="s">
        <v>435</v>
      </c>
      <c r="E27">
        <v>3</v>
      </c>
      <c r="F27">
        <f>_xlfn.XLOOKUP(Table5[[#This Row],[Medicine ID]], 'Medicine Master Table'!A:A, 'Medicine Master Table'!F:F, 0)</f>
        <v>396.23</v>
      </c>
      <c r="G27" t="s">
        <v>230</v>
      </c>
    </row>
    <row r="28" spans="1:7" x14ac:dyDescent="0.35">
      <c r="A28" t="s">
        <v>190</v>
      </c>
      <c r="B28" t="s">
        <v>226</v>
      </c>
      <c r="C28" t="str">
        <f>_xlfn.XLOOKUP(Table5[[#This Row],[Medicine Name]], 'Medicine Master Table'!B:B, 'Medicine Master Table'!A:A, "Not Found")</f>
        <v>AL-002</v>
      </c>
      <c r="D28" t="s">
        <v>436</v>
      </c>
      <c r="E28">
        <v>5</v>
      </c>
      <c r="F28">
        <f>_xlfn.XLOOKUP(Table5[[#This Row],[Medicine ID]], 'Medicine Master Table'!A:A, 'Medicine Master Table'!F:F, 0)</f>
        <v>180</v>
      </c>
      <c r="G28" t="s">
        <v>230</v>
      </c>
    </row>
    <row r="29" spans="1:7" x14ac:dyDescent="0.35">
      <c r="A29" t="s">
        <v>191</v>
      </c>
      <c r="B29" t="s">
        <v>226</v>
      </c>
      <c r="C29" t="str">
        <f>_xlfn.XLOOKUP(Table5[[#This Row],[Medicine Name]], 'Medicine Master Table'!B:B, 'Medicine Master Table'!A:A, "Not Found")</f>
        <v>AL-003</v>
      </c>
      <c r="D29" t="s">
        <v>437</v>
      </c>
      <c r="E29">
        <v>3</v>
      </c>
      <c r="F29">
        <f>_xlfn.XLOOKUP(Table5[[#This Row],[Medicine ID]], 'Medicine Master Table'!A:A, 'Medicine Master Table'!F:F, 0)</f>
        <v>405</v>
      </c>
      <c r="G29" t="s">
        <v>223</v>
      </c>
    </row>
    <row r="30" spans="1:7" x14ac:dyDescent="0.35">
      <c r="A30" t="s">
        <v>192</v>
      </c>
      <c r="B30" t="s">
        <v>226</v>
      </c>
      <c r="C30" t="str">
        <f>_xlfn.XLOOKUP(Table5[[#This Row],[Medicine Name]], 'Medicine Master Table'!B:B, 'Medicine Master Table'!A:A, "Not Found")</f>
        <v>AL-004</v>
      </c>
      <c r="D30" t="s">
        <v>438</v>
      </c>
      <c r="E30">
        <v>2</v>
      </c>
      <c r="F30">
        <f>_xlfn.XLOOKUP(Table5[[#This Row],[Medicine ID]], 'Medicine Master Table'!A:A, 'Medicine Master Table'!F:F, 0)</f>
        <v>324</v>
      </c>
      <c r="G30" t="s">
        <v>223</v>
      </c>
    </row>
    <row r="31" spans="1:7" x14ac:dyDescent="0.35">
      <c r="A31" t="s">
        <v>193</v>
      </c>
      <c r="B31" t="s">
        <v>226</v>
      </c>
      <c r="C31" t="str">
        <f>_xlfn.XLOOKUP(Table5[[#This Row],[Medicine Name]], 'Medicine Master Table'!B:B, 'Medicine Master Table'!A:A, "Not Found")</f>
        <v>NE-002</v>
      </c>
      <c r="D31" t="s">
        <v>65</v>
      </c>
      <c r="E31">
        <v>2</v>
      </c>
      <c r="F31">
        <f>_xlfn.XLOOKUP(Table5[[#This Row],[Medicine ID]], 'Medicine Master Table'!A:A, 'Medicine Master Table'!F:F, 0)</f>
        <v>450</v>
      </c>
      <c r="G31" t="s">
        <v>236</v>
      </c>
    </row>
    <row r="32" spans="1:7" x14ac:dyDescent="0.35">
      <c r="A32" t="s">
        <v>194</v>
      </c>
      <c r="B32" t="s">
        <v>226</v>
      </c>
      <c r="C32" t="str">
        <f>_xlfn.XLOOKUP(Table5[[#This Row],[Medicine Name]], 'Medicine Master Table'!B:B, 'Medicine Master Table'!A:A, "Not Found")</f>
        <v>NE-003</v>
      </c>
      <c r="D32" t="s">
        <v>66</v>
      </c>
      <c r="E32">
        <v>3</v>
      </c>
      <c r="F32">
        <f>_xlfn.XLOOKUP(Table5[[#This Row],[Medicine ID]], 'Medicine Master Table'!A:A, 'Medicine Master Table'!F:F, 0)</f>
        <v>450</v>
      </c>
      <c r="G32" t="s">
        <v>237</v>
      </c>
    </row>
    <row r="33" spans="1:7" x14ac:dyDescent="0.35">
      <c r="A33" t="s">
        <v>195</v>
      </c>
      <c r="B33" t="s">
        <v>226</v>
      </c>
      <c r="C33" t="str">
        <f>_xlfn.XLOOKUP(Table5[[#This Row],[Medicine Name]], 'Medicine Master Table'!B:B, 'Medicine Master Table'!A:A, "Not Found")</f>
        <v>NE-004</v>
      </c>
      <c r="D33" t="s">
        <v>67</v>
      </c>
      <c r="E33">
        <v>1</v>
      </c>
      <c r="F33">
        <f>_xlfn.XLOOKUP(Table5[[#This Row],[Medicine ID]], 'Medicine Master Table'!A:A, 'Medicine Master Table'!F:F, 0)</f>
        <v>450</v>
      </c>
      <c r="G33" t="s">
        <v>238</v>
      </c>
    </row>
    <row r="34" spans="1:7" x14ac:dyDescent="0.35">
      <c r="A34" t="s">
        <v>196</v>
      </c>
      <c r="B34" t="s">
        <v>226</v>
      </c>
      <c r="C34" t="str">
        <f>_xlfn.XLOOKUP(Table5[[#This Row],[Medicine Name]], 'Medicine Master Table'!B:B, 'Medicine Master Table'!A:A, "Not Found")</f>
        <v>NE-005</v>
      </c>
      <c r="D34" t="s">
        <v>68</v>
      </c>
      <c r="E34">
        <v>2</v>
      </c>
      <c r="F34">
        <f>_xlfn.XLOOKUP(Table5[[#This Row],[Medicine ID]], 'Medicine Master Table'!A:A, 'Medicine Master Table'!F:F, 0)</f>
        <v>225.89999999999998</v>
      </c>
      <c r="G34" t="s">
        <v>223</v>
      </c>
    </row>
    <row r="35" spans="1:7" x14ac:dyDescent="0.35">
      <c r="A35" t="s">
        <v>197</v>
      </c>
      <c r="B35" t="s">
        <v>226</v>
      </c>
      <c r="C35" t="str">
        <f>_xlfn.XLOOKUP(Table5[[#This Row],[Medicine Name]], 'Medicine Master Table'!B:B, 'Medicine Master Table'!A:A, "Not Found")</f>
        <v>NE-006</v>
      </c>
      <c r="D35" t="s">
        <v>69</v>
      </c>
      <c r="E35">
        <v>1</v>
      </c>
      <c r="F35">
        <f>_xlfn.XLOOKUP(Table5[[#This Row],[Medicine ID]], 'Medicine Master Table'!A:A, 'Medicine Master Table'!F:F, 0)</f>
        <v>225</v>
      </c>
      <c r="G35" t="s">
        <v>227</v>
      </c>
    </row>
    <row r="36" spans="1:7" x14ac:dyDescent="0.35">
      <c r="A36" t="s">
        <v>198</v>
      </c>
      <c r="B36" t="s">
        <v>226</v>
      </c>
      <c r="C36" t="str">
        <f>_xlfn.XLOOKUP(Table5[[#This Row],[Medicine Name]], 'Medicine Master Table'!B:B, 'Medicine Master Table'!A:A, "Not Found")</f>
        <v>NE-007</v>
      </c>
      <c r="D36" t="s">
        <v>70</v>
      </c>
      <c r="E36">
        <v>2</v>
      </c>
      <c r="F36">
        <f>_xlfn.XLOOKUP(Table5[[#This Row],[Medicine ID]], 'Medicine Master Table'!A:A, 'Medicine Master Table'!F:F, 0)</f>
        <v>225</v>
      </c>
      <c r="G36" t="s">
        <v>239</v>
      </c>
    </row>
    <row r="37" spans="1:7" x14ac:dyDescent="0.35">
      <c r="A37" t="s">
        <v>199</v>
      </c>
      <c r="B37" t="s">
        <v>226</v>
      </c>
      <c r="C37" t="str">
        <f>_xlfn.XLOOKUP(Table5[[#This Row],[Medicine Name]], 'Medicine Master Table'!B:B, 'Medicine Master Table'!A:A, "Not Found")</f>
        <v>NE-008</v>
      </c>
      <c r="D37" t="s">
        <v>242</v>
      </c>
      <c r="E37">
        <v>3</v>
      </c>
      <c r="F37">
        <f>_xlfn.XLOOKUP(Table5[[#This Row],[Medicine ID]], 'Medicine Master Table'!A:A, 'Medicine Master Table'!F:F, 0)</f>
        <v>360</v>
      </c>
      <c r="G37" t="s">
        <v>232</v>
      </c>
    </row>
    <row r="38" spans="1:7" x14ac:dyDescent="0.35">
      <c r="A38" t="s">
        <v>200</v>
      </c>
      <c r="B38" t="s">
        <v>226</v>
      </c>
      <c r="C38" t="str">
        <f>_xlfn.XLOOKUP(Table5[[#This Row],[Medicine Name]], 'Medicine Master Table'!B:B, 'Medicine Master Table'!A:A, "Not Found")</f>
        <v>NE-009</v>
      </c>
      <c r="D38" t="s">
        <v>243</v>
      </c>
      <c r="E38">
        <v>1</v>
      </c>
      <c r="F38">
        <f>_xlfn.XLOOKUP(Table5[[#This Row],[Medicine ID]], 'Medicine Master Table'!A:A, 'Medicine Master Table'!F:F, 0)</f>
        <v>630</v>
      </c>
      <c r="G38" t="s">
        <v>232</v>
      </c>
    </row>
    <row r="39" spans="1:7" x14ac:dyDescent="0.35">
      <c r="A39" t="s">
        <v>201</v>
      </c>
      <c r="B39" t="s">
        <v>226</v>
      </c>
      <c r="C39" t="str">
        <f>_xlfn.XLOOKUP(Table5[[#This Row],[Medicine Name]], 'Medicine Master Table'!B:B, 'Medicine Master Table'!A:A, "Not Found")</f>
        <v>AN-001</v>
      </c>
      <c r="D39" t="s">
        <v>73</v>
      </c>
      <c r="E39">
        <v>1</v>
      </c>
      <c r="F39">
        <f>_xlfn.XLOOKUP(Table5[[#This Row],[Medicine ID]], 'Medicine Master Table'!A:A, 'Medicine Master Table'!F:F, 0)</f>
        <v>374.40000000000003</v>
      </c>
      <c r="G39" t="s">
        <v>231</v>
      </c>
    </row>
    <row r="40" spans="1:7" x14ac:dyDescent="0.35">
      <c r="A40" t="s">
        <v>202</v>
      </c>
      <c r="B40" t="s">
        <v>226</v>
      </c>
      <c r="C40" t="str">
        <f>_xlfn.XLOOKUP(Table5[[#This Row],[Medicine Name]], 'Medicine Master Table'!B:B, 'Medicine Master Table'!A:A, "Not Found")</f>
        <v>AN-002</v>
      </c>
      <c r="D40" t="s">
        <v>74</v>
      </c>
      <c r="E40">
        <v>4</v>
      </c>
      <c r="F40">
        <f>_xlfn.XLOOKUP(Table5[[#This Row],[Medicine ID]], 'Medicine Master Table'!A:A, 'Medicine Master Table'!F:F, 0)</f>
        <v>403.2</v>
      </c>
      <c r="G40" t="s">
        <v>231</v>
      </c>
    </row>
    <row r="41" spans="1:7" x14ac:dyDescent="0.35">
      <c r="A41" t="s">
        <v>203</v>
      </c>
      <c r="B41" t="s">
        <v>226</v>
      </c>
      <c r="C41" t="str">
        <f>_xlfn.XLOOKUP(Table5[[#This Row],[Medicine Name]], 'Medicine Master Table'!B:B, 'Medicine Master Table'!A:A, "Not Found")</f>
        <v>AN-003</v>
      </c>
      <c r="D41" t="s">
        <v>75</v>
      </c>
      <c r="E41">
        <v>5</v>
      </c>
      <c r="F41">
        <f>_xlfn.XLOOKUP(Table5[[#This Row],[Medicine ID]], 'Medicine Master Table'!A:A, 'Medicine Master Table'!F:F, 0)</f>
        <v>519.29999999999995</v>
      </c>
      <c r="G41" t="s">
        <v>227</v>
      </c>
    </row>
    <row r="42" spans="1:7" x14ac:dyDescent="0.35">
      <c r="A42" t="s">
        <v>204</v>
      </c>
      <c r="B42" t="s">
        <v>226</v>
      </c>
      <c r="C42" t="str">
        <f>_xlfn.XLOOKUP(Table5[[#This Row],[Medicine Name]], 'Medicine Master Table'!B:B, 'Medicine Master Table'!A:A, "Not Found")</f>
        <v>AN-004</v>
      </c>
      <c r="D42" t="s">
        <v>76</v>
      </c>
      <c r="E42">
        <v>5</v>
      </c>
      <c r="F42">
        <f>_xlfn.XLOOKUP(Table5[[#This Row],[Medicine ID]], 'Medicine Master Table'!A:A, 'Medicine Master Table'!F:F, 0)</f>
        <v>378.00000000000006</v>
      </c>
      <c r="G42" t="s">
        <v>237</v>
      </c>
    </row>
    <row r="43" spans="1:7" x14ac:dyDescent="0.35">
      <c r="A43" t="s">
        <v>205</v>
      </c>
      <c r="B43" t="s">
        <v>226</v>
      </c>
      <c r="C43" t="str">
        <f>_xlfn.XLOOKUP(Table5[[#This Row],[Medicine Name]], 'Medicine Master Table'!B:B, 'Medicine Master Table'!A:A, "Not Found")</f>
        <v>AN-005</v>
      </c>
      <c r="D43" t="s">
        <v>78</v>
      </c>
      <c r="E43">
        <v>8</v>
      </c>
      <c r="F43">
        <f>_xlfn.XLOOKUP(Table5[[#This Row],[Medicine ID]], 'Medicine Master Table'!A:A, 'Medicine Master Table'!F:F, 0)</f>
        <v>648</v>
      </c>
      <c r="G43" t="s">
        <v>223</v>
      </c>
    </row>
    <row r="44" spans="1:7" x14ac:dyDescent="0.35">
      <c r="A44" t="s">
        <v>206</v>
      </c>
      <c r="B44" t="s">
        <v>226</v>
      </c>
      <c r="C44" t="str">
        <f>_xlfn.XLOOKUP(Table5[[#This Row],[Medicine Name]], 'Medicine Master Table'!B:B, 'Medicine Master Table'!A:A, "Not Found")</f>
        <v>AN-006</v>
      </c>
      <c r="D44" t="s">
        <v>79</v>
      </c>
      <c r="E44">
        <v>6</v>
      </c>
      <c r="F44">
        <f>_xlfn.XLOOKUP(Table5[[#This Row],[Medicine ID]], 'Medicine Master Table'!A:A, 'Medicine Master Table'!F:F, 0)</f>
        <v>594</v>
      </c>
      <c r="G44" t="s">
        <v>236</v>
      </c>
    </row>
    <row r="45" spans="1:7" x14ac:dyDescent="0.35">
      <c r="A45" t="s">
        <v>207</v>
      </c>
      <c r="B45" t="s">
        <v>226</v>
      </c>
      <c r="C45" t="str">
        <f>_xlfn.XLOOKUP(Table5[[#This Row],[Medicine Name]], 'Medicine Master Table'!B:B, 'Medicine Master Table'!A:A, "Not Found")</f>
        <v>AN-007</v>
      </c>
      <c r="D45" t="s">
        <v>80</v>
      </c>
      <c r="E45">
        <v>8</v>
      </c>
      <c r="F45">
        <f>_xlfn.XLOOKUP(Table5[[#This Row],[Medicine ID]], 'Medicine Master Table'!A:A, 'Medicine Master Table'!F:F, 0)</f>
        <v>422.43</v>
      </c>
      <c r="G45" t="s">
        <v>227</v>
      </c>
    </row>
    <row r="46" spans="1:7" x14ac:dyDescent="0.35">
      <c r="A46" t="s">
        <v>208</v>
      </c>
      <c r="B46" t="s">
        <v>226</v>
      </c>
      <c r="C46" t="str">
        <f>_xlfn.XLOOKUP(Table5[[#This Row],[Medicine Name]], 'Medicine Master Table'!B:B, 'Medicine Master Table'!A:A, "Not Found")</f>
        <v>AN-008</v>
      </c>
      <c r="D46" t="s">
        <v>81</v>
      </c>
      <c r="E46">
        <v>10</v>
      </c>
      <c r="F46">
        <f>_xlfn.XLOOKUP(Table5[[#This Row],[Medicine ID]], 'Medicine Master Table'!A:A, 'Medicine Master Table'!F:F, 0)</f>
        <v>486</v>
      </c>
      <c r="G46" t="s">
        <v>244</v>
      </c>
    </row>
    <row r="47" spans="1:7" x14ac:dyDescent="0.35">
      <c r="A47" t="s">
        <v>209</v>
      </c>
      <c r="B47" t="s">
        <v>226</v>
      </c>
      <c r="C47" t="str">
        <f>_xlfn.XLOOKUP(Table5[[#This Row],[Medicine Name]], 'Medicine Master Table'!B:B, 'Medicine Master Table'!A:A, "Not Found")</f>
        <v>AN-009</v>
      </c>
      <c r="D47" t="s">
        <v>82</v>
      </c>
      <c r="E47">
        <v>3</v>
      </c>
      <c r="F47">
        <f>_xlfn.XLOOKUP(Table5[[#This Row],[Medicine ID]], 'Medicine Master Table'!A:A, 'Medicine Master Table'!F:F, 0)</f>
        <v>576</v>
      </c>
      <c r="G47" t="s">
        <v>227</v>
      </c>
    </row>
    <row r="48" spans="1:7" x14ac:dyDescent="0.35">
      <c r="A48" t="s">
        <v>210</v>
      </c>
      <c r="B48" t="s">
        <v>226</v>
      </c>
      <c r="C48" t="str">
        <f>_xlfn.XLOOKUP(Table5[[#This Row],[Medicine Name]], 'Medicine Master Table'!B:B, 'Medicine Master Table'!A:A, "Not Found")</f>
        <v>AN-010</v>
      </c>
      <c r="D48" t="s">
        <v>83</v>
      </c>
      <c r="E48">
        <v>17</v>
      </c>
      <c r="F48">
        <f>_xlfn.XLOOKUP(Table5[[#This Row],[Medicine ID]], 'Medicine Master Table'!A:A, 'Medicine Master Table'!F:F, 0)</f>
        <v>495</v>
      </c>
      <c r="G48" t="s">
        <v>227</v>
      </c>
    </row>
    <row r="49" spans="1:7" x14ac:dyDescent="0.35">
      <c r="A49" t="s">
        <v>211</v>
      </c>
      <c r="B49" t="s">
        <v>226</v>
      </c>
      <c r="C49" t="str">
        <f>_xlfn.XLOOKUP(Table5[[#This Row],[Medicine Name]], 'Medicine Master Table'!B:B, 'Medicine Master Table'!A:A, "Not Found")</f>
        <v>AN-011</v>
      </c>
      <c r="D49" t="s">
        <v>86</v>
      </c>
      <c r="E49">
        <v>3</v>
      </c>
      <c r="F49">
        <f>_xlfn.XLOOKUP(Table5[[#This Row],[Medicine ID]], 'Medicine Master Table'!A:A, 'Medicine Master Table'!F:F, 0)</f>
        <v>567</v>
      </c>
      <c r="G49" t="s">
        <v>223</v>
      </c>
    </row>
    <row r="50" spans="1:7" x14ac:dyDescent="0.35">
      <c r="A50" t="s">
        <v>212</v>
      </c>
      <c r="B50" t="s">
        <v>226</v>
      </c>
      <c r="C50" t="str">
        <f>_xlfn.XLOOKUP(Table5[[#This Row],[Medicine Name]], 'Medicine Master Table'!B:B, 'Medicine Master Table'!A:A, "Not Found")</f>
        <v>AN-012</v>
      </c>
      <c r="D50" t="s">
        <v>87</v>
      </c>
      <c r="E50">
        <v>5</v>
      </c>
      <c r="F50">
        <f>_xlfn.XLOOKUP(Table5[[#This Row],[Medicine ID]], 'Medicine Master Table'!A:A, 'Medicine Master Table'!F:F, 0)</f>
        <v>756</v>
      </c>
      <c r="G50" t="s">
        <v>223</v>
      </c>
    </row>
    <row r="51" spans="1:7" x14ac:dyDescent="0.35">
      <c r="A51" t="s">
        <v>213</v>
      </c>
      <c r="B51" t="s">
        <v>226</v>
      </c>
      <c r="C51" t="str">
        <f>_xlfn.XLOOKUP(Table5[[#This Row],[Medicine Name]], 'Medicine Master Table'!B:B, 'Medicine Master Table'!A:A, "Not Found")</f>
        <v>AN-013</v>
      </c>
      <c r="D51" t="s">
        <v>88</v>
      </c>
      <c r="E51">
        <v>6</v>
      </c>
      <c r="F51">
        <f>_xlfn.XLOOKUP(Table5[[#This Row],[Medicine ID]], 'Medicine Master Table'!A:A, 'Medicine Master Table'!F:F, 0)</f>
        <v>428.40000000000003</v>
      </c>
      <c r="G51" t="s">
        <v>232</v>
      </c>
    </row>
    <row r="52" spans="1:7" x14ac:dyDescent="0.35">
      <c r="A52" t="s">
        <v>214</v>
      </c>
      <c r="B52" t="s">
        <v>226</v>
      </c>
      <c r="C52" t="str">
        <f>_xlfn.XLOOKUP(Table5[[#This Row],[Medicine Name]], 'Medicine Master Table'!B:B, 'Medicine Master Table'!A:A, "Not Found")</f>
        <v>AN-014</v>
      </c>
      <c r="D52" t="s">
        <v>89</v>
      </c>
      <c r="E52">
        <v>6</v>
      </c>
      <c r="F52">
        <f>_xlfn.XLOOKUP(Table5[[#This Row],[Medicine ID]], 'Medicine Master Table'!A:A, 'Medicine Master Table'!F:F, 0)</f>
        <v>756</v>
      </c>
      <c r="G52" t="s">
        <v>232</v>
      </c>
    </row>
    <row r="53" spans="1:7" x14ac:dyDescent="0.35">
      <c r="A53" t="s">
        <v>215</v>
      </c>
      <c r="B53" t="s">
        <v>226</v>
      </c>
      <c r="C53" t="str">
        <f>_xlfn.XLOOKUP(Table5[[#This Row],[Medicine Name]], 'Medicine Master Table'!B:B, 'Medicine Master Table'!A:A, "Not Found")</f>
        <v>AN-015</v>
      </c>
      <c r="D53" t="s">
        <v>90</v>
      </c>
      <c r="E53">
        <v>3</v>
      </c>
      <c r="F53">
        <f>_xlfn.XLOOKUP(Table5[[#This Row],[Medicine ID]], 'Medicine Master Table'!A:A, 'Medicine Master Table'!F:F, 0)</f>
        <v>864</v>
      </c>
      <c r="G53" t="s">
        <v>237</v>
      </c>
    </row>
    <row r="54" spans="1:7" x14ac:dyDescent="0.35">
      <c r="A54" t="s">
        <v>216</v>
      </c>
      <c r="B54" t="s">
        <v>226</v>
      </c>
      <c r="C54" t="str">
        <f>_xlfn.XLOOKUP(Table5[[#This Row],[Medicine Name]], 'Medicine Master Table'!B:B, 'Medicine Master Table'!A:A, "Not Found")</f>
        <v>AN-016</v>
      </c>
      <c r="D54" t="s">
        <v>91</v>
      </c>
      <c r="E54">
        <v>12</v>
      </c>
      <c r="F54">
        <f>_xlfn.XLOOKUP(Table5[[#This Row],[Medicine ID]], 'Medicine Master Table'!A:A, 'Medicine Master Table'!F:F, 0)</f>
        <v>972</v>
      </c>
      <c r="G54" t="s">
        <v>237</v>
      </c>
    </row>
    <row r="55" spans="1:7" x14ac:dyDescent="0.35">
      <c r="A55" t="s">
        <v>217</v>
      </c>
      <c r="B55" t="s">
        <v>226</v>
      </c>
      <c r="C55" t="str">
        <f>_xlfn.XLOOKUP(Table5[[#This Row],[Medicine Name]], 'Medicine Master Table'!B:B, 'Medicine Master Table'!A:A, "Not Found")</f>
        <v>AN-017</v>
      </c>
      <c r="D55" t="s">
        <v>92</v>
      </c>
      <c r="E55">
        <v>3</v>
      </c>
      <c r="F55">
        <f>_xlfn.XLOOKUP(Table5[[#This Row],[Medicine ID]], 'Medicine Master Table'!A:A, 'Medicine Master Table'!F:F, 0)</f>
        <v>567</v>
      </c>
      <c r="G55" t="s">
        <v>233</v>
      </c>
    </row>
    <row r="56" spans="1:7" x14ac:dyDescent="0.35">
      <c r="A56" t="s">
        <v>218</v>
      </c>
      <c r="B56" t="s">
        <v>226</v>
      </c>
      <c r="C56" t="str">
        <f>_xlfn.XLOOKUP(Table5[[#This Row],[Medicine Name]], 'Medicine Master Table'!B:B, 'Medicine Master Table'!A:A, "Not Found")</f>
        <v>AN-018</v>
      </c>
      <c r="D56" t="s">
        <v>93</v>
      </c>
      <c r="E56">
        <v>1</v>
      </c>
      <c r="F56">
        <f>_xlfn.XLOOKUP(Table5[[#This Row],[Medicine ID]], 'Medicine Master Table'!A:A, 'Medicine Master Table'!F:F, 0)</f>
        <v>756</v>
      </c>
      <c r="G56" t="s">
        <v>233</v>
      </c>
    </row>
    <row r="57" spans="1:7" x14ac:dyDescent="0.35">
      <c r="A57" t="s">
        <v>219</v>
      </c>
      <c r="B57" t="s">
        <v>226</v>
      </c>
      <c r="C57" t="str">
        <f>_xlfn.XLOOKUP(Table5[[#This Row],[Medicine Name]], 'Medicine Master Table'!B:B, 'Medicine Master Table'!A:A, "Not Found")</f>
        <v>AL-005</v>
      </c>
      <c r="D57" t="s">
        <v>94</v>
      </c>
      <c r="E57">
        <v>2</v>
      </c>
      <c r="F57">
        <f>_xlfn.XLOOKUP(Table5[[#This Row],[Medicine ID]], 'Medicine Master Table'!A:A, 'Medicine Master Table'!F:F, 0)</f>
        <v>405</v>
      </c>
      <c r="G57" t="s">
        <v>223</v>
      </c>
    </row>
    <row r="58" spans="1:7" x14ac:dyDescent="0.35">
      <c r="A58" t="s">
        <v>220</v>
      </c>
      <c r="B58" t="s">
        <v>226</v>
      </c>
      <c r="C58" t="str">
        <f>_xlfn.XLOOKUP(Table5[[#This Row],[Medicine Name]], 'Medicine Master Table'!B:B, 'Medicine Master Table'!A:A, "Not Found")</f>
        <v>AL-006</v>
      </c>
      <c r="D58" t="s">
        <v>96</v>
      </c>
      <c r="E58">
        <v>2</v>
      </c>
      <c r="F58">
        <f>_xlfn.XLOOKUP(Table5[[#This Row],[Medicine ID]], 'Medicine Master Table'!A:A, 'Medicine Master Table'!F:F, 0)</f>
        <v>225</v>
      </c>
      <c r="G58" t="s">
        <v>245</v>
      </c>
    </row>
    <row r="59" spans="1:7" x14ac:dyDescent="0.35">
      <c r="A59" t="s">
        <v>221</v>
      </c>
      <c r="B59" t="s">
        <v>226</v>
      </c>
      <c r="C59" t="str">
        <f>_xlfn.XLOOKUP(Table5[[#This Row],[Medicine Name]], 'Medicine Master Table'!B:B, 'Medicine Master Table'!A:A, "Not Found")</f>
        <v>AL-007</v>
      </c>
      <c r="D59" t="s">
        <v>97</v>
      </c>
      <c r="E59">
        <v>4</v>
      </c>
      <c r="F59">
        <f>_xlfn.XLOOKUP(Table5[[#This Row],[Medicine ID]], 'Medicine Master Table'!A:A, 'Medicine Master Table'!F:F, 0)</f>
        <v>405</v>
      </c>
      <c r="G59" t="s">
        <v>161</v>
      </c>
    </row>
    <row r="60" spans="1:7" x14ac:dyDescent="0.35">
      <c r="A60" t="s">
        <v>222</v>
      </c>
      <c r="B60" t="s">
        <v>226</v>
      </c>
      <c r="C60" t="str">
        <f>_xlfn.XLOOKUP(Table5[[#This Row],[Medicine Name]], 'Medicine Master Table'!B:B, 'Medicine Master Table'!A:A, "Not Found")</f>
        <v>AL-008</v>
      </c>
      <c r="D60" t="s">
        <v>98</v>
      </c>
      <c r="E60">
        <v>10</v>
      </c>
      <c r="F60">
        <f>_xlfn.XLOOKUP(Table5[[#This Row],[Medicine ID]], 'Medicine Master Table'!A:A, 'Medicine Master Table'!F:F, 0)</f>
        <v>22.5</v>
      </c>
      <c r="G60" t="s">
        <v>161</v>
      </c>
    </row>
    <row r="61" spans="1:7" x14ac:dyDescent="0.35">
      <c r="A61" t="s">
        <v>240</v>
      </c>
      <c r="B61" t="s">
        <v>226</v>
      </c>
      <c r="C61" t="str">
        <f>_xlfn.XLOOKUP(Table5[[#This Row],[Medicine Name]], 'Medicine Master Table'!B:B, 'Medicine Master Table'!A:A, "Not Found")</f>
        <v>AL-009</v>
      </c>
      <c r="D61" t="s">
        <v>100</v>
      </c>
      <c r="E61">
        <v>10</v>
      </c>
      <c r="F61">
        <f>_xlfn.XLOOKUP(Table5[[#This Row],[Medicine ID]], 'Medicine Master Table'!A:A, 'Medicine Master Table'!F:F, 0)</f>
        <v>25.2</v>
      </c>
      <c r="G61" t="s">
        <v>223</v>
      </c>
    </row>
    <row r="62" spans="1:7" x14ac:dyDescent="0.35">
      <c r="A62" t="s">
        <v>248</v>
      </c>
      <c r="B62" t="s">
        <v>226</v>
      </c>
      <c r="C62" t="str">
        <f>_xlfn.XLOOKUP(Table5[[#This Row],[Medicine Name]], 'Medicine Master Table'!B:B, 'Medicine Master Table'!A:A, "Not Found")</f>
        <v>AL-010</v>
      </c>
      <c r="D62" t="s">
        <v>102</v>
      </c>
      <c r="E62">
        <v>5</v>
      </c>
      <c r="F62">
        <f>_xlfn.XLOOKUP(Table5[[#This Row],[Medicine ID]], 'Medicine Master Table'!A:A, 'Medicine Master Table'!F:F, 0)</f>
        <v>31.5</v>
      </c>
      <c r="G62" t="s">
        <v>223</v>
      </c>
    </row>
    <row r="63" spans="1:7" x14ac:dyDescent="0.35">
      <c r="A63" t="s">
        <v>249</v>
      </c>
      <c r="B63" t="s">
        <v>226</v>
      </c>
      <c r="C63" t="str">
        <f>_xlfn.XLOOKUP(Table5[[#This Row],[Medicine Name]], 'Medicine Master Table'!B:B, 'Medicine Master Table'!A:A, "Not Found")</f>
        <v>NE-001</v>
      </c>
      <c r="D63" t="s">
        <v>63</v>
      </c>
      <c r="E63">
        <v>5</v>
      </c>
      <c r="F63">
        <f>_xlfn.XLOOKUP(Table5[[#This Row],[Medicine ID]], 'Medicine Master Table'!A:A, 'Medicine Master Table'!F:F, 0)</f>
        <v>440.03</v>
      </c>
      <c r="G63" t="s">
        <v>231</v>
      </c>
    </row>
    <row r="64" spans="1:7" x14ac:dyDescent="0.35">
      <c r="A64" t="s">
        <v>250</v>
      </c>
      <c r="B64" t="s">
        <v>226</v>
      </c>
      <c r="C64" t="str">
        <f>_xlfn.XLOOKUP(Table5[[#This Row],[Medicine Name]], 'Medicine Master Table'!B:B, 'Medicine Master Table'!A:A, "Not Found")</f>
        <v>CAL-001</v>
      </c>
      <c r="D64" t="s">
        <v>254</v>
      </c>
      <c r="E64">
        <v>5</v>
      </c>
      <c r="F64">
        <f>_xlfn.XLOOKUP(Table5[[#This Row],[Medicine ID]], 'Medicine Master Table'!A:A, 'Medicine Master Table'!F:F, 0)</f>
        <v>580.84</v>
      </c>
      <c r="G64" t="s">
        <v>231</v>
      </c>
    </row>
    <row r="65" spans="1:7" x14ac:dyDescent="0.35">
      <c r="A65" t="s">
        <v>251</v>
      </c>
      <c r="B65" t="s">
        <v>226</v>
      </c>
      <c r="C65" t="str">
        <f>_xlfn.XLOOKUP(Table5[[#This Row],[Medicine Name]], 'Medicine Master Table'!B:B, 'Medicine Master Table'!A:A, "Not Found")</f>
        <v>VIT-001</v>
      </c>
      <c r="D65" t="s">
        <v>256</v>
      </c>
      <c r="E65">
        <v>3</v>
      </c>
      <c r="F65">
        <f>_xlfn.XLOOKUP(Table5[[#This Row],[Medicine ID]], 'Medicine Master Table'!A:A, 'Medicine Master Table'!F:F, 0)</f>
        <v>633.64</v>
      </c>
      <c r="G65" t="s">
        <v>231</v>
      </c>
    </row>
    <row r="66" spans="1:7" x14ac:dyDescent="0.35">
      <c r="A66" t="s">
        <v>252</v>
      </c>
      <c r="B66" t="s">
        <v>226</v>
      </c>
      <c r="C66" t="str">
        <f>_xlfn.XLOOKUP(Table5[[#This Row],[Medicine Name]], 'Medicine Master Table'!B:B, 'Medicine Master Table'!A:A, "Not Found")</f>
        <v>AL-011</v>
      </c>
      <c r="D66" t="s">
        <v>439</v>
      </c>
      <c r="E66">
        <v>6</v>
      </c>
      <c r="F66">
        <f>_xlfn.XLOOKUP(Table5[[#This Row],[Medicine ID]], 'Medicine Master Table'!A:A, 'Medicine Master Table'!F:F, 0)</f>
        <v>422.43</v>
      </c>
      <c r="G66" t="s">
        <v>231</v>
      </c>
    </row>
    <row r="67" spans="1:7" x14ac:dyDescent="0.35">
      <c r="A67" t="s">
        <v>338</v>
      </c>
      <c r="B67" t="s">
        <v>226</v>
      </c>
      <c r="C67" t="str">
        <f>_xlfn.XLOOKUP(Table5[[#This Row],[Medicine Name]], 'Medicine Master Table'!B:B, 'Medicine Master Table'!A:A, "Not Found")</f>
        <v>AN-019</v>
      </c>
      <c r="D67" t="s">
        <v>259</v>
      </c>
      <c r="E67">
        <v>2</v>
      </c>
      <c r="F67">
        <f>_xlfn.XLOOKUP(Table5[[#This Row],[Medicine ID]], 'Medicine Master Table'!A:A, 'Medicine Master Table'!F:F, 0)</f>
        <v>431.23</v>
      </c>
      <c r="G67" t="s">
        <v>231</v>
      </c>
    </row>
    <row r="68" spans="1:7" x14ac:dyDescent="0.35">
      <c r="A68" t="s">
        <v>339</v>
      </c>
      <c r="B68" t="s">
        <v>226</v>
      </c>
      <c r="C68" t="str">
        <f>_xlfn.XLOOKUP(Table5[[#This Row],[Medicine Name]], 'Medicine Master Table'!B:B, 'Medicine Master Table'!A:A, "Not Found")</f>
        <v>PAI-001</v>
      </c>
      <c r="D68" t="s">
        <v>260</v>
      </c>
      <c r="E68">
        <v>15</v>
      </c>
      <c r="F68" s="6">
        <f>_xlfn.XLOOKUP(Table5[[#This Row],[Medicine ID]], 'Medicine Master Table'!A:A, 'Medicine Master Table'!F:F, 0)</f>
        <v>369.63</v>
      </c>
      <c r="G68" t="s">
        <v>231</v>
      </c>
    </row>
    <row r="69" spans="1:7" x14ac:dyDescent="0.35">
      <c r="A69" t="s">
        <v>340</v>
      </c>
      <c r="B69" t="s">
        <v>226</v>
      </c>
      <c r="C69" t="str">
        <f>_xlfn.XLOOKUP(Table5[[#This Row],[Medicine Name]], 'Medicine Master Table'!B:B, 'Medicine Master Table'!A:A, "Not Found")</f>
        <v>PAI-002</v>
      </c>
      <c r="D69" t="s">
        <v>262</v>
      </c>
      <c r="E69">
        <v>10</v>
      </c>
      <c r="F69" s="6">
        <f>_xlfn.XLOOKUP(Table5[[#This Row],[Medicine ID]], 'Medicine Master Table'!A:A, 'Medicine Master Table'!F:F, 0)</f>
        <v>316.83999999999997</v>
      </c>
      <c r="G69" t="s">
        <v>231</v>
      </c>
    </row>
    <row r="70" spans="1:7" x14ac:dyDescent="0.35">
      <c r="A70" t="s">
        <v>341</v>
      </c>
      <c r="B70" t="s">
        <v>226</v>
      </c>
      <c r="C70" t="str">
        <f>_xlfn.XLOOKUP(Table5[[#This Row],[Medicine Name]], 'Medicine Master Table'!B:B, 'Medicine Master Table'!A:A, "Not Found")</f>
        <v>AL-015</v>
      </c>
      <c r="D70" t="s">
        <v>263</v>
      </c>
      <c r="E70">
        <v>5</v>
      </c>
      <c r="F70" s="6">
        <f>_xlfn.XLOOKUP(Table5[[#This Row],[Medicine ID]], 'Medicine Master Table'!A:A, 'Medicine Master Table'!F:F, 0)</f>
        <v>528.04</v>
      </c>
      <c r="G70" t="s">
        <v>231</v>
      </c>
    </row>
    <row r="71" spans="1:7" x14ac:dyDescent="0.35">
      <c r="A71" t="s">
        <v>342</v>
      </c>
      <c r="B71" t="s">
        <v>226</v>
      </c>
      <c r="C71" t="str">
        <f>_xlfn.XLOOKUP(Table5[[#This Row],[Medicine Name]], 'Medicine Master Table'!B:B, 'Medicine Master Table'!A:A, "Not Found")</f>
        <v>CAL-002</v>
      </c>
      <c r="D71" t="s">
        <v>264</v>
      </c>
      <c r="E71">
        <v>10</v>
      </c>
      <c r="F71" s="6">
        <f>_xlfn.XLOOKUP(Table5[[#This Row],[Medicine ID]], 'Medicine Master Table'!A:A, 'Medicine Master Table'!F:F, 0)</f>
        <v>184.81</v>
      </c>
      <c r="G71" t="s">
        <v>231</v>
      </c>
    </row>
    <row r="72" spans="1:7" x14ac:dyDescent="0.35">
      <c r="A72" t="s">
        <v>343</v>
      </c>
      <c r="B72" t="s">
        <v>226</v>
      </c>
      <c r="C72" t="str">
        <f>_xlfn.XLOOKUP(Table5[[#This Row],[Medicine Name]], 'Medicine Master Table'!B:B, 'Medicine Master Table'!A:A, "Not Found")</f>
        <v>CAL-003</v>
      </c>
      <c r="D72" t="s">
        <v>265</v>
      </c>
      <c r="E72">
        <v>5</v>
      </c>
      <c r="F72" s="6">
        <f>_xlfn.XLOOKUP(Table5[[#This Row],[Medicine ID]], 'Medicine Master Table'!A:A, 'Medicine Master Table'!F:F, 0)</f>
        <v>580.24</v>
      </c>
      <c r="G72" t="s">
        <v>231</v>
      </c>
    </row>
    <row r="73" spans="1:7" x14ac:dyDescent="0.35">
      <c r="A73" t="s">
        <v>344</v>
      </c>
      <c r="B73" t="s">
        <v>226</v>
      </c>
      <c r="C73" t="str">
        <f>_xlfn.XLOOKUP(Table5[[#This Row],[Medicine Name]], 'Medicine Master Table'!B:B, 'Medicine Master Table'!A:A, "Not Found")</f>
        <v>CAL-004</v>
      </c>
      <c r="D73" t="s">
        <v>266</v>
      </c>
      <c r="E73">
        <v>3</v>
      </c>
      <c r="F73" s="6">
        <f>_xlfn.XLOOKUP(Table5[[#This Row],[Medicine ID]], 'Medicine Master Table'!A:A, 'Medicine Master Table'!F:F, 0)</f>
        <v>563.24</v>
      </c>
      <c r="G73" t="s">
        <v>231</v>
      </c>
    </row>
    <row r="74" spans="1:7" x14ac:dyDescent="0.35">
      <c r="A74" t="s">
        <v>345</v>
      </c>
      <c r="B74" t="s">
        <v>226</v>
      </c>
      <c r="C74" t="str">
        <f>_xlfn.XLOOKUP(Table5[[#This Row],[Medicine Name]], 'Medicine Master Table'!B:B, 'Medicine Master Table'!A:A, "Not Found")</f>
        <v>AL-012</v>
      </c>
      <c r="D74" t="s">
        <v>267</v>
      </c>
      <c r="E74">
        <v>15</v>
      </c>
      <c r="F74" s="6">
        <f>_xlfn.XLOOKUP(Table5[[#This Row],[Medicine ID]], 'Medicine Master Table'!A:A, 'Medicine Master Table'!F:F, 0)</f>
        <v>448.83</v>
      </c>
      <c r="G74" t="s">
        <v>231</v>
      </c>
    </row>
    <row r="75" spans="1:7" x14ac:dyDescent="0.35">
      <c r="A75" t="s">
        <v>346</v>
      </c>
      <c r="B75" t="s">
        <v>226</v>
      </c>
      <c r="C75" t="str">
        <f>_xlfn.XLOOKUP(Table5[[#This Row],[Medicine Name]], 'Medicine Master Table'!B:B, 'Medicine Master Table'!A:A, "Not Found")</f>
        <v>PAI-003</v>
      </c>
      <c r="D75" t="s">
        <v>268</v>
      </c>
      <c r="E75">
        <v>1</v>
      </c>
      <c r="F75" s="6">
        <f>_xlfn.XLOOKUP(Table5[[#This Row],[Medicine ID]], 'Medicine Master Table'!A:A, 'Medicine Master Table'!F:F, 0)</f>
        <v>316.83</v>
      </c>
      <c r="G75" t="s">
        <v>231</v>
      </c>
    </row>
    <row r="76" spans="1:7" x14ac:dyDescent="0.35">
      <c r="A76" t="s">
        <v>347</v>
      </c>
      <c r="B76" t="s">
        <v>226</v>
      </c>
      <c r="C76" t="str">
        <f>_xlfn.XLOOKUP(Table5[[#This Row],[Medicine Name]], 'Medicine Master Table'!B:B, 'Medicine Master Table'!A:A, "Not Found")</f>
        <v>PAI-004</v>
      </c>
      <c r="D76" t="s">
        <v>269</v>
      </c>
      <c r="E76">
        <v>12</v>
      </c>
      <c r="F76" s="6">
        <f>_xlfn.XLOOKUP(Table5[[#This Row],[Medicine ID]], 'Medicine Master Table'!A:A, 'Medicine Master Table'!F:F, 0)</f>
        <v>264.02</v>
      </c>
      <c r="G76" t="s">
        <v>231</v>
      </c>
    </row>
    <row r="77" spans="1:7" x14ac:dyDescent="0.35">
      <c r="A77" t="s">
        <v>348</v>
      </c>
      <c r="B77" t="s">
        <v>226</v>
      </c>
      <c r="C77" t="str">
        <f>_xlfn.XLOOKUP(Table5[[#This Row],[Medicine Name]], 'Medicine Master Table'!B:B, 'Medicine Master Table'!A:A, "Not Found")</f>
        <v>PAI-005</v>
      </c>
      <c r="D77" t="s">
        <v>270</v>
      </c>
      <c r="E77">
        <v>20</v>
      </c>
      <c r="F77" s="6">
        <f>_xlfn.XLOOKUP(Table5[[#This Row],[Medicine ID]], 'Medicine Master Table'!A:A, 'Medicine Master Table'!F:F, 0)</f>
        <v>132.01</v>
      </c>
      <c r="G77" t="s">
        <v>231</v>
      </c>
    </row>
    <row r="78" spans="1:7" x14ac:dyDescent="0.35">
      <c r="A78" t="s">
        <v>349</v>
      </c>
      <c r="B78" t="s">
        <v>226</v>
      </c>
      <c r="C78" t="str">
        <f>_xlfn.XLOOKUP(Table5[[#This Row],[Medicine Name]], 'Medicine Master Table'!B:B, 'Medicine Master Table'!A:A, "Not Found")</f>
        <v>TOP-001</v>
      </c>
      <c r="D78" t="s">
        <v>272</v>
      </c>
      <c r="E78">
        <v>10</v>
      </c>
      <c r="F78" s="6">
        <f>_xlfn.XLOOKUP(Table5[[#This Row],[Medicine ID]], 'Medicine Master Table'!A:A, 'Medicine Master Table'!F:F, 0)</f>
        <v>123.21</v>
      </c>
      <c r="G78" t="s">
        <v>231</v>
      </c>
    </row>
    <row r="79" spans="1:7" x14ac:dyDescent="0.35">
      <c r="A79" t="s">
        <v>350</v>
      </c>
      <c r="B79" t="s">
        <v>226</v>
      </c>
      <c r="C79" t="str">
        <f>_xlfn.XLOOKUP(Table5[[#This Row],[Medicine Name]], 'Medicine Master Table'!B:B, 'Medicine Master Table'!A:A, "Not Found")</f>
        <v>VAC-001</v>
      </c>
      <c r="D79" t="s">
        <v>274</v>
      </c>
      <c r="E79">
        <v>2</v>
      </c>
      <c r="F79" s="6">
        <f>_xlfn.XLOOKUP(Table5[[#This Row],[Medicine ID]], 'Medicine Master Table'!A:A, 'Medicine Master Table'!F:F, 0)</f>
        <v>409.45</v>
      </c>
      <c r="G79" t="s">
        <v>231</v>
      </c>
    </row>
    <row r="80" spans="1:7" x14ac:dyDescent="0.35">
      <c r="A80" t="s">
        <v>351</v>
      </c>
      <c r="B80" t="s">
        <v>226</v>
      </c>
      <c r="C80" t="str">
        <f>_xlfn.XLOOKUP(Table5[[#This Row],[Medicine Name]], 'Medicine Master Table'!B:B, 'Medicine Master Table'!A:A, "Not Found")</f>
        <v>AN-020</v>
      </c>
      <c r="D80" t="s">
        <v>276</v>
      </c>
      <c r="E80">
        <v>30</v>
      </c>
      <c r="F80" s="6">
        <f>_xlfn.XLOOKUP(Table5[[#This Row],[Medicine ID]], 'Medicine Master Table'!A:A, 'Medicine Master Table'!F:F, 0)</f>
        <v>202.41</v>
      </c>
      <c r="G80" t="s">
        <v>231</v>
      </c>
    </row>
    <row r="81" spans="1:7" x14ac:dyDescent="0.35">
      <c r="A81" t="s">
        <v>352</v>
      </c>
      <c r="B81" t="s">
        <v>226</v>
      </c>
      <c r="C81" t="str">
        <f>_xlfn.XLOOKUP(Table5[[#This Row],[Medicine Name]], 'Medicine Master Table'!B:B, 'Medicine Master Table'!A:A, "Not Found")</f>
        <v>AN-021</v>
      </c>
      <c r="D81" t="s">
        <v>277</v>
      </c>
      <c r="E81">
        <v>20</v>
      </c>
      <c r="F81" s="6">
        <f>_xlfn.XLOOKUP(Table5[[#This Row],[Medicine ID]], 'Medicine Master Table'!A:A, 'Medicine Master Table'!F:F, 0)</f>
        <v>211.21</v>
      </c>
      <c r="G81" t="s">
        <v>231</v>
      </c>
    </row>
    <row r="82" spans="1:7" x14ac:dyDescent="0.35">
      <c r="A82" t="s">
        <v>353</v>
      </c>
      <c r="B82" t="s">
        <v>226</v>
      </c>
      <c r="C82" t="str">
        <f>_xlfn.XLOOKUP(Table5[[#This Row],[Medicine Name]], 'Medicine Master Table'!B:B, 'Medicine Master Table'!A:A, "Not Found")</f>
        <v>CAL-005</v>
      </c>
      <c r="D82" t="s">
        <v>278</v>
      </c>
      <c r="E82">
        <v>8</v>
      </c>
      <c r="F82" s="6">
        <f>_xlfn.XLOOKUP(Table5[[#This Row],[Medicine ID]], 'Medicine Master Table'!A:A, 'Medicine Master Table'!F:F, 0)</f>
        <v>176.02</v>
      </c>
      <c r="G82" t="s">
        <v>227</v>
      </c>
    </row>
    <row r="83" spans="1:7" x14ac:dyDescent="0.35">
      <c r="A83" t="s">
        <v>354</v>
      </c>
      <c r="B83" t="s">
        <v>226</v>
      </c>
      <c r="C83" t="str">
        <f>_xlfn.XLOOKUP(Table5[[#This Row],[Medicine Name]], 'Medicine Master Table'!B:B, 'Medicine Master Table'!A:A, "Not Found")</f>
        <v>AL-017</v>
      </c>
      <c r="D83" t="s">
        <v>279</v>
      </c>
      <c r="E83">
        <v>24</v>
      </c>
      <c r="F83" s="6">
        <f>_xlfn.XLOOKUP(Table5[[#This Row],[Medicine ID]], 'Medicine Master Table'!A:A, 'Medicine Master Table'!F:F, 0)</f>
        <v>96.83</v>
      </c>
      <c r="G83" t="s">
        <v>227</v>
      </c>
    </row>
    <row r="84" spans="1:7" x14ac:dyDescent="0.35">
      <c r="A84" t="s">
        <v>355</v>
      </c>
      <c r="B84" t="s">
        <v>226</v>
      </c>
      <c r="C84" t="str">
        <f>_xlfn.XLOOKUP(Table5[[#This Row],[Medicine Name]], 'Medicine Master Table'!B:B, 'Medicine Master Table'!A:A, "Not Found")</f>
        <v>PAI-006</v>
      </c>
      <c r="D84" t="s">
        <v>280</v>
      </c>
      <c r="E84">
        <v>10</v>
      </c>
      <c r="F84" s="6">
        <f>_xlfn.XLOOKUP(Table5[[#This Row],[Medicine ID]], 'Medicine Master Table'!A:A, 'Medicine Master Table'!F:F, 0)</f>
        <v>396.03</v>
      </c>
      <c r="G84" t="s">
        <v>227</v>
      </c>
    </row>
    <row r="85" spans="1:7" x14ac:dyDescent="0.35">
      <c r="A85" t="s">
        <v>356</v>
      </c>
      <c r="B85" t="s">
        <v>226</v>
      </c>
      <c r="C85" t="str">
        <f>_xlfn.XLOOKUP(Table5[[#This Row],[Medicine Name]], 'Medicine Master Table'!B:B, 'Medicine Master Table'!A:A, "Not Found")</f>
        <v>PAI-007</v>
      </c>
      <c r="D85" t="s">
        <v>281</v>
      </c>
      <c r="E85">
        <v>6</v>
      </c>
      <c r="F85" s="6">
        <f>_xlfn.XLOOKUP(Table5[[#This Row],[Medicine ID]], 'Medicine Master Table'!A:A, 'Medicine Master Table'!F:F, 0)</f>
        <v>422.43</v>
      </c>
      <c r="G85" t="s">
        <v>227</v>
      </c>
    </row>
    <row r="86" spans="1:7" x14ac:dyDescent="0.35">
      <c r="A86" t="s">
        <v>357</v>
      </c>
      <c r="B86" t="s">
        <v>226</v>
      </c>
      <c r="C86" t="str">
        <f>_xlfn.XLOOKUP(Table5[[#This Row],[Medicine Name]], 'Medicine Master Table'!B:B, 'Medicine Master Table'!A:A, "Not Found")</f>
        <v>PAI-008</v>
      </c>
      <c r="D86" t="s">
        <v>282</v>
      </c>
      <c r="E86">
        <v>3</v>
      </c>
      <c r="F86" s="6">
        <f>_xlfn.XLOOKUP(Table5[[#This Row],[Medicine ID]], 'Medicine Master Table'!A:A, 'Medicine Master Table'!F:F, 0)</f>
        <v>308.02</v>
      </c>
      <c r="G86" t="s">
        <v>227</v>
      </c>
    </row>
    <row r="87" spans="1:7" x14ac:dyDescent="0.35">
      <c r="A87" t="s">
        <v>358</v>
      </c>
      <c r="B87" t="s">
        <v>226</v>
      </c>
      <c r="C87" t="str">
        <f>_xlfn.XLOOKUP(Table5[[#This Row],[Medicine Name]], 'Medicine Master Table'!B:B, 'Medicine Master Table'!A:A, "Not Found")</f>
        <v>AL-013</v>
      </c>
      <c r="D87" t="s">
        <v>285</v>
      </c>
      <c r="E87">
        <v>2</v>
      </c>
      <c r="F87" s="6">
        <f>_xlfn.XLOOKUP(Table5[[#This Row],[Medicine ID]], 'Medicine Master Table'!A:A, 'Medicine Master Table'!F:F, 0)</f>
        <v>443.56</v>
      </c>
      <c r="G87" t="s">
        <v>227</v>
      </c>
    </row>
    <row r="88" spans="1:7" x14ac:dyDescent="0.35">
      <c r="A88" t="s">
        <v>359</v>
      </c>
      <c r="B88" t="s">
        <v>226</v>
      </c>
      <c r="C88" t="str">
        <f>_xlfn.XLOOKUP(Table5[[#This Row],[Medicine Name]], 'Medicine Master Table'!B:B, 'Medicine Master Table'!A:A, "Not Found")</f>
        <v>NE-010</v>
      </c>
      <c r="D88" t="s">
        <v>286</v>
      </c>
      <c r="E88">
        <v>3</v>
      </c>
      <c r="F88" s="6">
        <f>_xlfn.XLOOKUP(Table5[[#This Row],[Medicine ID]], 'Medicine Master Table'!A:A, 'Medicine Master Table'!F:F, 0)</f>
        <v>369.62</v>
      </c>
      <c r="G88" t="s">
        <v>227</v>
      </c>
    </row>
    <row r="89" spans="1:7" x14ac:dyDescent="0.35">
      <c r="A89" t="s">
        <v>360</v>
      </c>
      <c r="B89" t="s">
        <v>226</v>
      </c>
      <c r="C89" t="str">
        <f>_xlfn.XLOOKUP(Table5[[#This Row],[Medicine Name]], 'Medicine Master Table'!B:B, 'Medicine Master Table'!A:A, "Not Found")</f>
        <v>NE-011</v>
      </c>
      <c r="D89" t="s">
        <v>287</v>
      </c>
      <c r="E89">
        <v>1</v>
      </c>
      <c r="F89" s="6">
        <f>_xlfn.XLOOKUP(Table5[[#This Row],[Medicine ID]], 'Medicine Master Table'!A:A, 'Medicine Master Table'!F:F, 0)</f>
        <v>352.02</v>
      </c>
      <c r="G89" t="s">
        <v>227</v>
      </c>
    </row>
    <row r="90" spans="1:7" x14ac:dyDescent="0.35">
      <c r="A90" t="s">
        <v>361</v>
      </c>
      <c r="B90" t="s">
        <v>226</v>
      </c>
      <c r="C90" t="str">
        <f>_xlfn.XLOOKUP(Table5[[#This Row],[Medicine Name]], 'Medicine Master Table'!B:B, 'Medicine Master Table'!A:A, "Not Found")</f>
        <v>CAL-006</v>
      </c>
      <c r="D90" t="s">
        <v>288</v>
      </c>
      <c r="E90">
        <v>11</v>
      </c>
      <c r="F90" s="6">
        <f>_xlfn.XLOOKUP(Table5[[#This Row],[Medicine ID]], 'Medicine Master Table'!A:A, 'Medicine Master Table'!F:F, 0)</f>
        <v>211.21</v>
      </c>
      <c r="G90" t="s">
        <v>227</v>
      </c>
    </row>
    <row r="91" spans="1:7" x14ac:dyDescent="0.35">
      <c r="A91" t="s">
        <v>362</v>
      </c>
      <c r="B91" t="s">
        <v>226</v>
      </c>
      <c r="C91" t="str">
        <f>_xlfn.XLOOKUP(Table5[[#This Row],[Medicine Name]], 'Medicine Master Table'!B:B, 'Medicine Master Table'!A:A, "Not Found")</f>
        <v>AN-022</v>
      </c>
      <c r="D91" t="s">
        <v>290</v>
      </c>
      <c r="E91">
        <v>22</v>
      </c>
      <c r="F91" s="6">
        <f>_xlfn.XLOOKUP(Table5[[#This Row],[Medicine ID]], 'Medicine Master Table'!A:A, 'Medicine Master Table'!F:F, 0)</f>
        <v>193.62</v>
      </c>
      <c r="G91" t="s">
        <v>227</v>
      </c>
    </row>
    <row r="92" spans="1:7" x14ac:dyDescent="0.35">
      <c r="A92" t="s">
        <v>363</v>
      </c>
      <c r="B92" t="s">
        <v>226</v>
      </c>
      <c r="C92" t="str">
        <f>_xlfn.XLOOKUP(Table5[[#This Row],[Medicine Name]], 'Medicine Master Table'!B:B, 'Medicine Master Table'!A:A, "Not Found")</f>
        <v>AL-014</v>
      </c>
      <c r="D92" t="s">
        <v>289</v>
      </c>
      <c r="E92">
        <v>5</v>
      </c>
      <c r="F92" s="6">
        <f>_xlfn.XLOOKUP(Table5[[#This Row],[Medicine ID]], 'Medicine Master Table'!A:A, 'Medicine Master Table'!F:F, 0)</f>
        <v>528.04</v>
      </c>
      <c r="G92" t="s">
        <v>227</v>
      </c>
    </row>
    <row r="93" spans="1:7" x14ac:dyDescent="0.35">
      <c r="A93" t="s">
        <v>364</v>
      </c>
      <c r="B93" t="s">
        <v>226</v>
      </c>
      <c r="C93" t="str">
        <f>_xlfn.XLOOKUP(Table5[[#This Row],[Medicine Name]], 'Medicine Master Table'!B:B, 'Medicine Master Table'!A:A, "Not Found")</f>
        <v>GA-015</v>
      </c>
      <c r="D93" t="s">
        <v>291</v>
      </c>
      <c r="E93">
        <v>11</v>
      </c>
      <c r="F93" s="6">
        <f>_xlfn.XLOOKUP(Table5[[#This Row],[Medicine ID]], 'Medicine Master Table'!A:A, 'Medicine Master Table'!F:F, 0)</f>
        <v>44</v>
      </c>
      <c r="G93" t="s">
        <v>227</v>
      </c>
    </row>
    <row r="94" spans="1:7" x14ac:dyDescent="0.35">
      <c r="A94" t="s">
        <v>365</v>
      </c>
      <c r="B94" t="s">
        <v>226</v>
      </c>
      <c r="C94" t="str">
        <f>_xlfn.XLOOKUP(Table5[[#This Row],[Medicine Name]], 'Medicine Master Table'!B:B, 'Medicine Master Table'!A:A, "Not Found")</f>
        <v>GA-016</v>
      </c>
      <c r="D94" t="s">
        <v>292</v>
      </c>
      <c r="E94">
        <v>1</v>
      </c>
      <c r="F94" s="6">
        <f>_xlfn.XLOOKUP(Table5[[#This Row],[Medicine ID]], 'Medicine Master Table'!A:A, 'Medicine Master Table'!F:F, 0)</f>
        <v>425.07</v>
      </c>
      <c r="G94" t="s">
        <v>227</v>
      </c>
    </row>
    <row r="95" spans="1:7" x14ac:dyDescent="0.35">
      <c r="A95" t="s">
        <v>366</v>
      </c>
      <c r="B95" t="s">
        <v>226</v>
      </c>
      <c r="C95" t="str">
        <f>_xlfn.XLOOKUP(Table5[[#This Row],[Medicine Name]], 'Medicine Master Table'!B:B, 'Medicine Master Table'!A:A, "Not Found")</f>
        <v>GA-017</v>
      </c>
      <c r="D95" t="s">
        <v>293</v>
      </c>
      <c r="E95">
        <v>1</v>
      </c>
      <c r="F95" s="6">
        <f>_xlfn.XLOOKUP(Table5[[#This Row],[Medicine ID]], 'Medicine Master Table'!A:A, 'Medicine Master Table'!F:F, 0)</f>
        <v>607.20000000000005</v>
      </c>
      <c r="G95" t="s">
        <v>233</v>
      </c>
    </row>
    <row r="96" spans="1:7" x14ac:dyDescent="0.35">
      <c r="A96" t="s">
        <v>367</v>
      </c>
      <c r="B96" t="s">
        <v>226</v>
      </c>
      <c r="C96" t="str">
        <f>_xlfn.XLOOKUP(Table5[[#This Row],[Medicine Name]], 'Medicine Master Table'!B:B, 'Medicine Master Table'!A:A, "Not Found")</f>
        <v>AL-018</v>
      </c>
      <c r="D96" t="s">
        <v>294</v>
      </c>
      <c r="E96">
        <v>5</v>
      </c>
      <c r="F96" s="6">
        <f>_xlfn.XLOOKUP(Table5[[#This Row],[Medicine ID]], 'Medicine Master Table'!A:A, 'Medicine Master Table'!F:F, 0)</f>
        <v>528</v>
      </c>
      <c r="G96" t="s">
        <v>233</v>
      </c>
    </row>
    <row r="97" spans="1:7" x14ac:dyDescent="0.35">
      <c r="A97" t="s">
        <v>368</v>
      </c>
      <c r="B97" t="s">
        <v>226</v>
      </c>
      <c r="C97" t="str">
        <f>_xlfn.XLOOKUP(Table5[[#This Row],[Medicine Name]], 'Medicine Master Table'!B:B, 'Medicine Master Table'!A:A, "Not Found")</f>
        <v>TOP-002</v>
      </c>
      <c r="D97" t="s">
        <v>296</v>
      </c>
      <c r="E97">
        <v>10</v>
      </c>
      <c r="F97" s="6">
        <f>_xlfn.XLOOKUP(Table5[[#This Row],[Medicine ID]], 'Medicine Master Table'!A:A, 'Medicine Master Table'!F:F, 0)</f>
        <v>30.81</v>
      </c>
      <c r="G97" t="s">
        <v>233</v>
      </c>
    </row>
    <row r="98" spans="1:7" x14ac:dyDescent="0.35">
      <c r="A98" t="s">
        <v>369</v>
      </c>
      <c r="B98" t="s">
        <v>226</v>
      </c>
      <c r="C98" t="str">
        <f>_xlfn.XLOOKUP(Table5[[#This Row],[Medicine Name]], 'Medicine Master Table'!B:B, 'Medicine Master Table'!A:A, "Not Found")</f>
        <v>TOP-003</v>
      </c>
      <c r="D98" t="s">
        <v>297</v>
      </c>
      <c r="E98">
        <v>10</v>
      </c>
      <c r="F98" s="6">
        <f>_xlfn.XLOOKUP(Table5[[#This Row],[Medicine ID]], 'Medicine Master Table'!A:A, 'Medicine Master Table'!F:F, 0)</f>
        <v>66</v>
      </c>
      <c r="G98" t="s">
        <v>233</v>
      </c>
    </row>
    <row r="99" spans="1:7" x14ac:dyDescent="0.35">
      <c r="A99" t="s">
        <v>370</v>
      </c>
      <c r="B99" t="s">
        <v>226</v>
      </c>
      <c r="C99" t="str">
        <f>_xlfn.XLOOKUP(Table5[[#This Row],[Medicine Name]], 'Medicine Master Table'!B:B, 'Medicine Master Table'!A:A, "Not Found")</f>
        <v>TOP-004</v>
      </c>
      <c r="D99" t="s">
        <v>298</v>
      </c>
      <c r="E99">
        <v>19</v>
      </c>
      <c r="F99" s="6">
        <f>_xlfn.XLOOKUP(Table5[[#This Row],[Medicine ID]], 'Medicine Master Table'!A:A, 'Medicine Master Table'!F:F, 0)</f>
        <v>132</v>
      </c>
      <c r="G99" t="s">
        <v>233</v>
      </c>
    </row>
    <row r="100" spans="1:7" x14ac:dyDescent="0.35">
      <c r="A100" t="s">
        <v>371</v>
      </c>
      <c r="B100" t="s">
        <v>226</v>
      </c>
      <c r="C100" t="str">
        <f>_xlfn.XLOOKUP(Table5[[#This Row],[Medicine Name]], 'Medicine Master Table'!B:B, 'Medicine Master Table'!A:A, "Not Found")</f>
        <v>AN-023</v>
      </c>
      <c r="D100" t="s">
        <v>299</v>
      </c>
      <c r="E100">
        <v>2</v>
      </c>
      <c r="F100" s="6">
        <f>_xlfn.XLOOKUP(Table5[[#This Row],[Medicine ID]], 'Medicine Master Table'!A:A, 'Medicine Master Table'!F:F, 0)</f>
        <v>162.81</v>
      </c>
      <c r="G100" t="s">
        <v>233</v>
      </c>
    </row>
    <row r="101" spans="1:7" x14ac:dyDescent="0.35">
      <c r="A101" t="s">
        <v>372</v>
      </c>
      <c r="B101" t="s">
        <v>226</v>
      </c>
      <c r="C101" t="str">
        <f>_xlfn.XLOOKUP(Table5[[#This Row],[Medicine Name]], 'Medicine Master Table'!B:B, 'Medicine Master Table'!A:A, "Not Found")</f>
        <v>EAR-001</v>
      </c>
      <c r="D101" t="s">
        <v>379</v>
      </c>
      <c r="E101">
        <v>5</v>
      </c>
      <c r="F101" s="6">
        <f>_xlfn.XLOOKUP(Table5[[#This Row],[Medicine ID]], 'Medicine Master Table'!A:A, 'Medicine Master Table'!F:F, 0)</f>
        <v>132</v>
      </c>
      <c r="G101" t="s">
        <v>233</v>
      </c>
    </row>
    <row r="102" spans="1:7" x14ac:dyDescent="0.35">
      <c r="A102" t="s">
        <v>373</v>
      </c>
      <c r="B102" t="s">
        <v>226</v>
      </c>
      <c r="C102" t="str">
        <f>_xlfn.XLOOKUP(Table5[[#This Row],[Medicine Name]], 'Medicine Master Table'!B:B, 'Medicine Master Table'!A:A, "Not Found")</f>
        <v>AL-019</v>
      </c>
      <c r="D102" t="s">
        <v>300</v>
      </c>
      <c r="E102">
        <v>5</v>
      </c>
      <c r="F102" s="6">
        <f>_xlfn.XLOOKUP(Table5[[#This Row],[Medicine ID]], 'Medicine Master Table'!A:A, 'Medicine Master Table'!F:F, 0)</f>
        <v>264</v>
      </c>
      <c r="G102" t="s">
        <v>233</v>
      </c>
    </row>
    <row r="103" spans="1:7" x14ac:dyDescent="0.35">
      <c r="A103" t="s">
        <v>374</v>
      </c>
      <c r="B103" t="s">
        <v>226</v>
      </c>
      <c r="C103" t="str">
        <f>_xlfn.XLOOKUP(Table5[[#This Row],[Medicine Name]], 'Medicine Master Table'!B:B, 'Medicine Master Table'!A:A, "Not Found")</f>
        <v>CARD-001</v>
      </c>
      <c r="D103" t="s">
        <v>301</v>
      </c>
      <c r="E103">
        <v>2</v>
      </c>
      <c r="F103" s="6">
        <f>_xlfn.XLOOKUP(Table5[[#This Row],[Medicine ID]], 'Medicine Master Table'!A:A, 'Medicine Master Table'!F:F, 0)</f>
        <v>303.60000000000002</v>
      </c>
      <c r="G103" t="s">
        <v>233</v>
      </c>
    </row>
    <row r="104" spans="1:7" x14ac:dyDescent="0.35">
      <c r="A104" t="s">
        <v>375</v>
      </c>
      <c r="B104" t="s">
        <v>226</v>
      </c>
      <c r="C104" t="str">
        <f>_xlfn.XLOOKUP(Table5[[#This Row],[Medicine Name]], 'Medicine Master Table'!B:B, 'Medicine Master Table'!A:A, "Not Found")</f>
        <v>PAI-009</v>
      </c>
      <c r="D104" t="s">
        <v>302</v>
      </c>
      <c r="E104">
        <v>10</v>
      </c>
      <c r="F104" s="6">
        <f>_xlfn.XLOOKUP(Table5[[#This Row],[Medicine ID]], 'Medicine Master Table'!A:A, 'Medicine Master Table'!F:F, 0)</f>
        <v>132</v>
      </c>
      <c r="G104" t="s">
        <v>233</v>
      </c>
    </row>
    <row r="105" spans="1:7" x14ac:dyDescent="0.35">
      <c r="A105" t="s">
        <v>509</v>
      </c>
      <c r="B105" t="s">
        <v>529</v>
      </c>
      <c r="C105" s="18" t="str">
        <f>_xlfn.XLOOKUP(Table5[[#This Row],[Medicine Name]], 'Medicine Master Table'!B:B, 'Medicine Master Table'!A:A, "Not Found")</f>
        <v>GA-018</v>
      </c>
      <c r="D105" t="s">
        <v>441</v>
      </c>
      <c r="E105">
        <v>6</v>
      </c>
      <c r="F105" s="6">
        <f>_xlfn.XLOOKUP(Table5[[#This Row],[Medicine ID]], 'Medicine Master Table'!A:A, 'Medicine Master Table'!F:F, 0)</f>
        <v>290.42</v>
      </c>
      <c r="G105" t="s">
        <v>239</v>
      </c>
    </row>
    <row r="106" spans="1:7" x14ac:dyDescent="0.35">
      <c r="A106" t="s">
        <v>510</v>
      </c>
      <c r="B106" t="s">
        <v>529</v>
      </c>
      <c r="C106" s="18" t="str">
        <f>_xlfn.XLOOKUP(Table5[[#This Row],[Medicine Name]], 'Medicine Master Table'!B:B, 'Medicine Master Table'!A:A, "Not Found")</f>
        <v>GA-019</v>
      </c>
      <c r="D106" t="s">
        <v>442</v>
      </c>
      <c r="E106">
        <v>2</v>
      </c>
      <c r="F106" s="6">
        <f>_xlfn.XLOOKUP(Table5[[#This Row],[Medicine ID]], 'Medicine Master Table'!A:A, 'Medicine Master Table'!F:F, 0)</f>
        <v>747.85</v>
      </c>
      <c r="G106" t="s">
        <v>230</v>
      </c>
    </row>
    <row r="107" spans="1:7" x14ac:dyDescent="0.35">
      <c r="A107" t="s">
        <v>511</v>
      </c>
      <c r="B107" t="s">
        <v>529</v>
      </c>
      <c r="C107" s="18" t="str">
        <f>_xlfn.XLOOKUP(Table5[[#This Row],[Medicine Name]], 'Medicine Master Table'!B:B, 'Medicine Master Table'!A:A, "Not Found")</f>
        <v>GA-020</v>
      </c>
      <c r="D107" t="s">
        <v>538</v>
      </c>
      <c r="E107">
        <v>1</v>
      </c>
      <c r="F107" s="6">
        <f>_xlfn.XLOOKUP(Table5[[#This Row],[Medicine ID]], 'Medicine Master Table'!A:A, 'Medicine Master Table'!F:F, 0)</f>
        <v>863</v>
      </c>
      <c r="G107" t="s">
        <v>230</v>
      </c>
    </row>
    <row r="108" spans="1:7" x14ac:dyDescent="0.35">
      <c r="A108" t="s">
        <v>512</v>
      </c>
      <c r="B108" t="s">
        <v>529</v>
      </c>
      <c r="C108" s="18" t="str">
        <f>_xlfn.XLOOKUP(Table5[[#This Row],[Medicine Name]], 'Medicine Master Table'!B:B, 'Medicine Master Table'!A:A, "Not Found")</f>
        <v>GA-021</v>
      </c>
      <c r="D108" t="s">
        <v>450</v>
      </c>
      <c r="E108">
        <v>1</v>
      </c>
      <c r="F108" s="6">
        <f>_xlfn.XLOOKUP(Table5[[#This Row],[Medicine ID]], 'Medicine Master Table'!A:A, 'Medicine Master Table'!F:F, 0)</f>
        <v>660</v>
      </c>
      <c r="G108" t="s">
        <v>230</v>
      </c>
    </row>
    <row r="109" spans="1:7" x14ac:dyDescent="0.35">
      <c r="A109" t="s">
        <v>513</v>
      </c>
      <c r="B109" t="s">
        <v>529</v>
      </c>
      <c r="C109" s="18" t="str">
        <f>_xlfn.XLOOKUP(Table5[[#This Row],[Medicine Name]], 'Medicine Master Table'!B:B, 'Medicine Master Table'!A:A, "Not Found")</f>
        <v>PAI-010</v>
      </c>
      <c r="D109" t="s">
        <v>452</v>
      </c>
      <c r="E109">
        <v>12</v>
      </c>
      <c r="F109" s="6">
        <f>_xlfn.XLOOKUP(Table5[[#This Row],[Medicine ID]], 'Medicine Master Table'!A:A, 'Medicine Master Table'!F:F, 0)</f>
        <v>264.02</v>
      </c>
      <c r="G109" t="s">
        <v>239</v>
      </c>
    </row>
    <row r="110" spans="1:7" x14ac:dyDescent="0.35">
      <c r="A110" t="s">
        <v>514</v>
      </c>
      <c r="B110" t="s">
        <v>529</v>
      </c>
      <c r="C110" s="18" t="str">
        <f>_xlfn.XLOOKUP(Table5[[#This Row],[Medicine Name]], 'Medicine Master Table'!B:B, 'Medicine Master Table'!A:A, "Not Found")</f>
        <v>AN-024</v>
      </c>
      <c r="D110" t="s">
        <v>454</v>
      </c>
      <c r="E110">
        <v>16</v>
      </c>
      <c r="F110" s="6">
        <f>_xlfn.XLOOKUP(Table5[[#This Row],[Medicine ID]], 'Medicine Master Table'!A:A, 'Medicine Master Table'!F:F, 0)</f>
        <v>258.74</v>
      </c>
      <c r="G110" t="s">
        <v>239</v>
      </c>
    </row>
    <row r="111" spans="1:7" x14ac:dyDescent="0.35">
      <c r="A111" t="s">
        <v>515</v>
      </c>
      <c r="B111" t="s">
        <v>529</v>
      </c>
      <c r="C111" s="18" t="str">
        <f>_xlfn.XLOOKUP(Table5[[#This Row],[Medicine Name]], 'Medicine Master Table'!B:B, 'Medicine Master Table'!A:A, "Not Found")</f>
        <v>AN-025</v>
      </c>
      <c r="D111" t="s">
        <v>456</v>
      </c>
      <c r="E111">
        <v>12</v>
      </c>
      <c r="F111" s="6">
        <f>_xlfn.XLOOKUP(Table5[[#This Row],[Medicine ID]], 'Medicine Master Table'!A:A, 'Medicine Master Table'!F:F, 0)</f>
        <v>405</v>
      </c>
      <c r="G111" t="s">
        <v>239</v>
      </c>
    </row>
    <row r="112" spans="1:7" x14ac:dyDescent="0.35">
      <c r="A112" t="s">
        <v>516</v>
      </c>
      <c r="B112" t="s">
        <v>529</v>
      </c>
      <c r="C112" s="18" t="str">
        <f>_xlfn.XLOOKUP(Table5[[#This Row],[Medicine Name]], 'Medicine Master Table'!B:B, 'Medicine Master Table'!A:A, "Not Found")</f>
        <v>AN-026</v>
      </c>
      <c r="D112" t="s">
        <v>459</v>
      </c>
      <c r="E112">
        <v>1</v>
      </c>
      <c r="F112" s="6">
        <f>_xlfn.XLOOKUP(Table5[[#This Row],[Medicine ID]], 'Medicine Master Table'!A:A, 'Medicine Master Table'!F:F, 0)</f>
        <v>0</v>
      </c>
      <c r="G112" t="s">
        <v>223</v>
      </c>
    </row>
    <row r="113" spans="1:7" x14ac:dyDescent="0.35">
      <c r="A113" t="s">
        <v>517</v>
      </c>
      <c r="B113" t="s">
        <v>529</v>
      </c>
      <c r="C113" s="18" t="str">
        <f>_xlfn.XLOOKUP(Table5[[#This Row],[Medicine Name]], 'Medicine Master Table'!B:B, 'Medicine Master Table'!A:A, "Not Found")</f>
        <v>AN-027</v>
      </c>
      <c r="D113" t="s">
        <v>460</v>
      </c>
      <c r="E113">
        <v>1</v>
      </c>
      <c r="F113" s="6">
        <f>_xlfn.XLOOKUP(Table5[[#This Row],[Medicine ID]], 'Medicine Master Table'!A:A, 'Medicine Master Table'!F:F, 0)</f>
        <v>0</v>
      </c>
      <c r="G113" t="s">
        <v>223</v>
      </c>
    </row>
    <row r="114" spans="1:7" x14ac:dyDescent="0.35">
      <c r="A114" t="s">
        <v>518</v>
      </c>
      <c r="B114" t="s">
        <v>529</v>
      </c>
      <c r="C114" s="18" t="str">
        <f>_xlfn.XLOOKUP(Table5[[#This Row],[Medicine Name]], 'Medicine Master Table'!B:B, 'Medicine Master Table'!A:A, "Not Found")</f>
        <v>AN-028</v>
      </c>
      <c r="D114" t="s">
        <v>461</v>
      </c>
      <c r="E114">
        <v>2</v>
      </c>
      <c r="F114" s="6">
        <f>_xlfn.XLOOKUP(Table5[[#This Row],[Medicine ID]], 'Medicine Master Table'!A:A, 'Medicine Master Table'!F:F, 0)</f>
        <v>739.28</v>
      </c>
      <c r="G114" t="s">
        <v>230</v>
      </c>
    </row>
    <row r="115" spans="1:7" x14ac:dyDescent="0.35">
      <c r="A115" t="s">
        <v>519</v>
      </c>
      <c r="B115" t="s">
        <v>529</v>
      </c>
      <c r="C115" s="18" t="str">
        <f>_xlfn.XLOOKUP(Table5[[#This Row],[Medicine Name]], 'Medicine Master Table'!B:B, 'Medicine Master Table'!A:A, "Not Found")</f>
        <v>AN-029</v>
      </c>
      <c r="D115" t="s">
        <v>462</v>
      </c>
      <c r="E115">
        <v>10</v>
      </c>
      <c r="F115" s="6">
        <f>_xlfn.XLOOKUP(Table5[[#This Row],[Medicine ID]], 'Medicine Master Table'!A:A, 'Medicine Master Table'!F:F, 0)</f>
        <v>528.15</v>
      </c>
      <c r="G115" t="s">
        <v>230</v>
      </c>
    </row>
    <row r="116" spans="1:7" x14ac:dyDescent="0.35">
      <c r="A116" t="s">
        <v>520</v>
      </c>
      <c r="B116" t="s">
        <v>529</v>
      </c>
      <c r="C116" s="18" t="str">
        <f>_xlfn.XLOOKUP(Table5[[#This Row],[Medicine Name]], 'Medicine Master Table'!B:B, 'Medicine Master Table'!A:A, "Not Found")</f>
        <v>CAL-007</v>
      </c>
      <c r="D116" t="s">
        <v>467</v>
      </c>
      <c r="E116">
        <v>1</v>
      </c>
      <c r="F116" s="6">
        <f>_xlfn.XLOOKUP(Table5[[#This Row],[Medicine ID]], 'Medicine Master Table'!A:A, 'Medicine Master Table'!F:F, 0)</f>
        <v>607.20000000000005</v>
      </c>
      <c r="G116" t="s">
        <v>230</v>
      </c>
    </row>
    <row r="117" spans="1:7" x14ac:dyDescent="0.35">
      <c r="A117" t="s">
        <v>521</v>
      </c>
      <c r="B117" t="s">
        <v>529</v>
      </c>
      <c r="C117" s="18" t="str">
        <f>_xlfn.XLOOKUP(Table5[[#This Row],[Medicine Name]], 'Medicine Master Table'!B:B, 'Medicine Master Table'!A:A, "Not Found")</f>
        <v>ANT-001</v>
      </c>
      <c r="D117" t="s">
        <v>468</v>
      </c>
      <c r="E117">
        <v>10</v>
      </c>
      <c r="F117" s="6">
        <f>_xlfn.XLOOKUP(Table5[[#This Row],[Medicine ID]], 'Medicine Master Table'!A:A, 'Medicine Master Table'!F:F, 0)</f>
        <v>14.12</v>
      </c>
      <c r="G117" t="s">
        <v>230</v>
      </c>
    </row>
    <row r="118" spans="1:7" x14ac:dyDescent="0.35">
      <c r="A118" t="s">
        <v>522</v>
      </c>
      <c r="B118" t="s">
        <v>529</v>
      </c>
      <c r="C118" s="18" t="str">
        <f>_xlfn.XLOOKUP(Table5[[#This Row],[Medicine Name]], 'Medicine Master Table'!B:B, 'Medicine Master Table'!A:A, "Not Found")</f>
        <v>STE-001</v>
      </c>
      <c r="D118" t="s">
        <v>475</v>
      </c>
      <c r="E118">
        <v>6</v>
      </c>
      <c r="F118" s="6">
        <f>_xlfn.XLOOKUP(Table5[[#This Row],[Medicine ID]], 'Medicine Master Table'!A:A, 'Medicine Master Table'!F:F, 0)</f>
        <v>275.3</v>
      </c>
      <c r="G118" t="s">
        <v>230</v>
      </c>
    </row>
    <row r="119" spans="1:7" x14ac:dyDescent="0.35">
      <c r="A119" t="s">
        <v>523</v>
      </c>
      <c r="B119" t="s">
        <v>529</v>
      </c>
      <c r="C119" s="18" t="str">
        <f>_xlfn.XLOOKUP(Table5[[#This Row],[Medicine Name]], 'Medicine Master Table'!B:B, 'Medicine Master Table'!A:A, "Not Found")</f>
        <v>THY-001</v>
      </c>
      <c r="D119" t="s">
        <v>502</v>
      </c>
      <c r="E119">
        <v>2</v>
      </c>
      <c r="F119" s="6">
        <f>_xlfn.XLOOKUP(Table5[[#This Row],[Medicine ID]], 'Medicine Master Table'!A:A, 'Medicine Master Table'!F:F, 0)</f>
        <v>174.19</v>
      </c>
      <c r="G119" t="s">
        <v>230</v>
      </c>
    </row>
    <row r="120" spans="1:7" x14ac:dyDescent="0.35">
      <c r="A120" t="s">
        <v>524</v>
      </c>
      <c r="B120" t="s">
        <v>529</v>
      </c>
      <c r="C120" s="19" t="str">
        <f>_xlfn.XLOOKUP(Table5[[#This Row],[Medicine Name]], 'Medicine Master Table'!B:B, 'Medicine Master Table'!A:A, "Not Found")</f>
        <v>AL-016</v>
      </c>
      <c r="D120" t="s">
        <v>432</v>
      </c>
      <c r="E120" s="25">
        <v>20</v>
      </c>
      <c r="F120" s="26">
        <f>_xlfn.XLOOKUP(Table5[[#This Row],[Medicine ID]], 'Medicine Master Table'!A:A, 'Medicine Master Table'!F:F, 0)</f>
        <v>396.03</v>
      </c>
      <c r="G120" s="25" t="s">
        <v>239</v>
      </c>
    </row>
    <row r="121" spans="1:7" x14ac:dyDescent="0.35">
      <c r="A121" t="s">
        <v>525</v>
      </c>
      <c r="B121" t="s">
        <v>529</v>
      </c>
      <c r="C121" s="19" t="str">
        <f>_xlfn.XLOOKUP(Table5[[#This Row],[Medicine Name]], 'Medicine Master Table'!B:B, 'Medicine Master Table'!A:A, "Not Found")</f>
        <v>AL-020</v>
      </c>
      <c r="D121" t="s">
        <v>434</v>
      </c>
      <c r="E121" s="25">
        <v>10</v>
      </c>
      <c r="F121" s="26">
        <f>_xlfn.XLOOKUP(Table5[[#This Row],[Medicine ID]], 'Medicine Master Table'!A:A, 'Medicine Master Table'!F:F, 0)</f>
        <v>176.02</v>
      </c>
      <c r="G121" s="25" t="s">
        <v>239</v>
      </c>
    </row>
    <row r="122" spans="1:7" x14ac:dyDescent="0.35">
      <c r="A122" t="s">
        <v>526</v>
      </c>
      <c r="B122" t="s">
        <v>529</v>
      </c>
      <c r="C122" s="19" t="str">
        <f>_xlfn.XLOOKUP(Table5[[#This Row],[Medicine Name]], 'Medicine Master Table'!B:B, 'Medicine Master Table'!A:A, "Not Found")</f>
        <v>GA-005</v>
      </c>
      <c r="D122" t="s">
        <v>440</v>
      </c>
      <c r="E122" s="25">
        <v>2</v>
      </c>
      <c r="F122" s="26">
        <f>_xlfn.XLOOKUP(Table5[[#This Row],[Medicine ID]], 'Medicine Master Table'!A:A, 'Medicine Master Table'!F:F, 0)</f>
        <v>863</v>
      </c>
      <c r="G122" s="25" t="s">
        <v>230</v>
      </c>
    </row>
    <row r="123" spans="1:7" x14ac:dyDescent="0.35">
      <c r="A123" t="s">
        <v>527</v>
      </c>
      <c r="B123" t="s">
        <v>529</v>
      </c>
      <c r="C123" s="19" t="str">
        <f>_xlfn.XLOOKUP(Table5[[#This Row],[Medicine Name]], 'Medicine Master Table'!B:B, 'Medicine Master Table'!A:A, "Not Found")</f>
        <v>GA-008</v>
      </c>
      <c r="D123" t="s">
        <v>449</v>
      </c>
      <c r="E123" s="25">
        <v>2</v>
      </c>
      <c r="F123" s="26">
        <f>_xlfn.XLOOKUP(Table5[[#This Row],[Medicine ID]], 'Medicine Master Table'!A:A, 'Medicine Master Table'!F:F, 0)</f>
        <v>616.35</v>
      </c>
      <c r="G123" s="25" t="s">
        <v>230</v>
      </c>
    </row>
    <row r="124" spans="1:7" x14ac:dyDescent="0.35">
      <c r="A124" t="s">
        <v>528</v>
      </c>
      <c r="B124" t="s">
        <v>529</v>
      </c>
      <c r="C124" s="19" t="str">
        <f>_xlfn.XLOOKUP(Table5[[#This Row],[Medicine Name]], 'Medicine Master Table'!B:B, 'Medicine Master Table'!A:A, "Not Found")</f>
        <v>AL-001</v>
      </c>
      <c r="D124" t="s">
        <v>435</v>
      </c>
      <c r="E124" s="25">
        <v>5</v>
      </c>
      <c r="F124" s="26">
        <f>_xlfn.XLOOKUP(Table5[[#This Row],[Medicine ID]], 'Medicine Master Table'!A:A, 'Medicine Master Table'!F:F, 0)</f>
        <v>396.23</v>
      </c>
      <c r="G124" s="25" t="s">
        <v>230</v>
      </c>
    </row>
  </sheetData>
  <mergeCells count="1">
    <mergeCell ref="A1:G1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Medicine Master Table</vt:lpstr>
      <vt:lpstr>Sales Log Table</vt:lpstr>
      <vt:lpstr>Stock 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MAHIN RAHMAN</dc:creator>
  <cp:lastModifiedBy>MAHIN RAHMAN</cp:lastModifiedBy>
  <dcterms:created xsi:type="dcterms:W3CDTF">2026-05-15T08:05:46Z</dcterms:created>
  <dcterms:modified xsi:type="dcterms:W3CDTF">2026-05-24T18:20:42Z</dcterms:modified>
</cp:coreProperties>
</file>